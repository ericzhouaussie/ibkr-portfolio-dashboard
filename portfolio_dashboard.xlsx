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持仓录入" sheetId="1" state="visible" r:id="rId1"/>
    <sheet xmlns:r="http://schemas.openxmlformats.org/officeDocument/2006/relationships" name="策略汇总" sheetId="2" state="visible" r:id="rId2"/>
    <sheet xmlns:r="http://schemas.openxmlformats.org/officeDocument/2006/relationships" name="仪表盘" sheetId="3" state="visible" r:id="rId3"/>
    <sheet xmlns:r="http://schemas.openxmlformats.org/officeDocument/2006/relationships" name="设置" sheetId="4" state="visible" r:id="rId4"/>
  </sheets>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
  </numFmts>
  <fonts count="13">
    <font>
      <name val="Calibri"/>
      <family val="2"/>
      <color theme="1"/>
      <sz val="11"/>
      <scheme val="minor"/>
    </font>
    <font>
      <b val="1"/>
      <color rgb="00FFFFFF"/>
      <sz val="16"/>
    </font>
    <font>
      <b val="1"/>
      <color rgb="00FFFFFF"/>
    </font>
    <font>
      <b val="1"/>
      <color rgb="004472C4"/>
    </font>
    <font>
      <i val="1"/>
      <color rgb="00CCCCCC"/>
      <sz val="9"/>
    </font>
    <font>
      <b val="1"/>
      <color rgb="00FFFFFF"/>
      <sz val="12"/>
    </font>
    <font>
      <color rgb="00CCCCCC"/>
      <sz val="10"/>
    </font>
    <font>
      <b val="1"/>
      <color rgb="00FFFFFF"/>
      <sz val="11"/>
    </font>
    <font>
      <b val="1"/>
      <color rgb="00FFFFFF"/>
      <sz val="14"/>
    </font>
    <font>
      <b val="1"/>
      <color rgb="00FFD700"/>
    </font>
    <font>
      <color rgb="00FFD700"/>
    </font>
    <font>
      <color rgb="00CCCCCC"/>
    </font>
    <font>
      <color rgb="00FFFFFF"/>
    </font>
  </fonts>
  <fills count="4">
    <fill>
      <patternFill/>
    </fill>
    <fill>
      <patternFill patternType="gray125"/>
    </fill>
    <fill>
      <patternFill patternType="solid">
        <fgColor rgb="000f3460"/>
        <bgColor rgb="000f3460"/>
      </patternFill>
    </fill>
    <fill>
      <patternFill patternType="solid">
        <fgColor rgb="0016213e"/>
        <bgColor rgb="0016213e"/>
      </patternFill>
    </fill>
  </fills>
  <borders count="1">
    <border>
      <left/>
      <right/>
      <top/>
      <bottom/>
      <diagonal/>
    </border>
  </borders>
  <cellStyleXfs count="1">
    <xf numFmtId="0" fontId="0" fillId="0" borderId="0"/>
  </cellStyleXfs>
  <cellXfs count="29">
    <xf numFmtId="0" fontId="0" fillId="0" borderId="0" pivotButton="0" quotePrefix="0" xfId="0"/>
    <xf numFmtId="0" fontId="7" fillId="2" borderId="0" applyAlignment="1" pivotButton="0" quotePrefix="0" xfId="0">
      <alignment horizontal="center" vertical="center"/>
    </xf>
    <xf numFmtId="1" fontId="0"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8" fillId="2" borderId="0" pivotButton="0" quotePrefix="0" xfId="0"/>
    <xf numFmtId="0" fontId="3" fillId="0" borderId="0" pivotButton="0" quotePrefix="0" xfId="0"/>
    <xf numFmtId="164" fontId="3" fillId="3" borderId="0" pivotButton="0" quotePrefix="0" xfId="0"/>
    <xf numFmtId="0" fontId="4" fillId="0" borderId="0" pivotButton="0" quotePrefix="0" xfId="0"/>
    <xf numFmtId="0" fontId="2" fillId="0" borderId="0" pivotButton="0" quotePrefix="0" xfId="0"/>
    <xf numFmtId="0" fontId="0" fillId="0" borderId="0" applyAlignment="1" pivotButton="0" quotePrefix="0" xfId="0">
      <alignment horizontal="center"/>
    </xf>
    <xf numFmtId="0" fontId="2" fillId="2" borderId="0" pivotButton="0" quotePrefix="0" xfId="0"/>
    <xf numFmtId="164" fontId="2" fillId="0" borderId="0" pivotButton="0" quotePrefix="0" xfId="0"/>
    <xf numFmtId="166" fontId="2" fillId="0" borderId="0" pivotButton="0" quotePrefix="0" xfId="0"/>
    <xf numFmtId="1" fontId="2" fillId="0" borderId="0" pivotButton="0" quotePrefix="0" xfId="0"/>
    <xf numFmtId="0" fontId="9" fillId="0" borderId="0" pivotButton="0" quotePrefix="0" xfId="0"/>
    <xf numFmtId="164" fontId="9" fillId="0" borderId="0" pivotButton="0" quotePrefix="0" xfId="0"/>
    <xf numFmtId="166" fontId="10" fillId="0" borderId="0" pivotButton="0" quotePrefix="0" xfId="0"/>
    <xf numFmtId="0" fontId="1" fillId="2" borderId="0" pivotButton="0" quotePrefix="0" xfId="0"/>
    <xf numFmtId="0" fontId="6" fillId="3" borderId="0" pivotButton="0" quotePrefix="0" xfId="0"/>
    <xf numFmtId="164" fontId="8" fillId="3" borderId="0" applyAlignment="1" pivotButton="0" quotePrefix="0" xfId="0">
      <alignment horizontal="center" vertical="center"/>
    </xf>
    <xf numFmtId="0" fontId="8" fillId="3" borderId="0" applyAlignment="1" pivotButton="0" quotePrefix="0" xfId="0">
      <alignment horizontal="center" vertical="center"/>
    </xf>
    <xf numFmtId="0" fontId="5" fillId="2" borderId="0" pivotButton="0" quotePrefix="0" xfId="0"/>
    <xf numFmtId="0" fontId="11" fillId="0" borderId="0" pivotButton="0" quotePrefix="0" xfId="0"/>
    <xf numFmtId="166" fontId="8" fillId="0" borderId="0" pivotButton="0" quotePrefix="0" xfId="0"/>
    <xf numFmtId="0" fontId="12" fillId="0" borderId="0" pivotButton="0" quotePrefix="0" xfId="0"/>
    <xf numFmtId="166" fontId="3" fillId="3" borderId="0" pivotButton="0" quotePrefix="0" xfId="0"/>
    <xf numFmtId="0" fontId="6" fillId="0" borderId="0" pivotButton="0" quotePrefix="0" xfId="0"/>
  </cellXfs>
  <cellStyles count="1">
    <cellStyle name="Normal" xfId="0" builtinId="0" hidden="0"/>
  </cellStyles>
  <dxfs count="4">
    <dxf>
      <font>
        <color rgb="0000B050"/>
      </font>
      <fill>
        <patternFill patternType="solid">
          <fgColor rgb="00003300"/>
          <bgColor rgb="00003300"/>
        </patternFill>
      </fill>
    </dxf>
    <dxf>
      <font>
        <color rgb="00FF0000"/>
      </font>
      <fill>
        <patternFill patternType="solid">
          <fgColor rgb="00330000"/>
          <bgColor rgb="00330000"/>
        </patternFill>
      </fill>
    </dxf>
    <dxf>
      <font>
        <color rgb="0000B050"/>
      </font>
    </dxf>
    <dxf>
      <font>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策略市值分布</a:t>
            </a:r>
          </a:p>
        </rich>
      </tx>
    </title>
    <plotArea>
      <pieChart>
        <varyColors val="1"/>
        <ser>
          <idx val="0"/>
          <order val="0"/>
          <spPr>
            <a:ln xmlns:a="http://schemas.openxmlformats.org/drawingml/2006/main">
              <a:prstDash val="solid"/>
            </a:ln>
          </spPr>
          <cat>
            <numRef>
              <f>'策略汇总'!$A$6:$A$9</f>
            </numRef>
          </cat>
          <val>
            <numRef>
              <f>'策略汇总'!$C$6:$C$9</f>
            </numRef>
          </val>
        </ser>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各策略盈亏对比</a:t>
            </a:r>
          </a:p>
        </rich>
      </tx>
    </title>
    <plotArea>
      <barChart>
        <barDir val="col"/>
        <grouping val="clustered"/>
        <ser>
          <idx val="0"/>
          <order val="0"/>
          <spPr>
            <a:ln xmlns:a="http://schemas.openxmlformats.org/drawingml/2006/main">
              <a:prstDash val="solid"/>
            </a:ln>
          </spPr>
          <cat>
            <numRef>
              <f>'策略汇总'!$A$6:$A$10</f>
            </numRef>
          </cat>
          <val>
            <numRef>
              <f>'策略汇总'!$D$6:$D$10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36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10</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101"/>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2" customWidth="1" min="4" max="4"/>
    <col width="12" customWidth="1" min="5" max="5"/>
    <col width="14" customWidth="1" min="6" max="6"/>
    <col width="14" customWidth="1" min="7" max="7"/>
    <col width="12" customWidth="1" min="8" max="8"/>
    <col width="20" customWidth="1" min="9" max="9"/>
  </cols>
  <sheetData>
    <row r="1">
      <c r="A1" s="1" t="inlineStr">
        <is>
          <t>策略</t>
        </is>
      </c>
      <c r="B1" s="1" t="inlineStr">
        <is>
          <t>标的代码</t>
        </is>
      </c>
      <c r="C1" s="1" t="inlineStr">
        <is>
          <t>数量</t>
        </is>
      </c>
      <c r="D1" s="1" t="inlineStr">
        <is>
          <t>成本价</t>
        </is>
      </c>
      <c r="E1" s="1" t="inlineStr">
        <is>
          <t>现价</t>
        </is>
      </c>
      <c r="F1" s="1" t="inlineStr">
        <is>
          <t>市值</t>
        </is>
      </c>
      <c r="G1" s="1" t="inlineStr">
        <is>
          <t>盈亏金额</t>
        </is>
      </c>
      <c r="H1" s="1" t="inlineStr">
        <is>
          <t>盈亏%</t>
        </is>
      </c>
      <c r="I1" s="1" t="inlineStr">
        <is>
          <t>备注</t>
        </is>
      </c>
    </row>
    <row r="2">
      <c r="A2" t="inlineStr">
        <is>
          <t>定投仓DCA</t>
        </is>
      </c>
      <c r="B2" t="inlineStr">
        <is>
          <t>AAPL</t>
        </is>
      </c>
      <c r="C2" s="2" t="n">
        <v>150</v>
      </c>
      <c r="D2" s="3" t="n">
        <v>175.5</v>
      </c>
      <c r="E2" s="3" t="n">
        <v>195.2</v>
      </c>
      <c r="F2" s="4">
        <f>IF(AND(C2&lt;&gt;"",E2&lt;&gt;""),ABS(C2)*E2,"")</f>
        <v/>
      </c>
      <c r="G2" s="4">
        <f>IF(AND(C2&lt;&gt;"",D2&lt;&gt;"",E2&lt;&gt;""),(E2-D2)*C2,"")</f>
        <v/>
      </c>
      <c r="H2" s="5">
        <f>IFERROR(IF(AND(E2&lt;&gt;"",D2&lt;&gt;0),E2/D2-1,""),"")</f>
        <v/>
      </c>
      <c r="I2" t="inlineStr"/>
    </row>
    <row r="3">
      <c r="A3" t="inlineStr">
        <is>
          <t>定投仓DCA</t>
        </is>
      </c>
      <c r="B3" t="inlineStr">
        <is>
          <t>MSFT</t>
        </is>
      </c>
      <c r="C3" s="2" t="n">
        <v>80</v>
      </c>
      <c r="D3" s="3" t="n">
        <v>410</v>
      </c>
      <c r="E3" s="3" t="n">
        <v>445.6</v>
      </c>
      <c r="F3" s="4">
        <f>IF(AND(C3&lt;&gt;"",E3&lt;&gt;""),ABS(C3)*E3,"")</f>
        <v/>
      </c>
      <c r="G3" s="4">
        <f>IF(AND(C3&lt;&gt;"",D3&lt;&gt;"",E3&lt;&gt;""),(E3-D3)*C3,"")</f>
        <v/>
      </c>
      <c r="H3" s="5">
        <f>IFERROR(IF(AND(E3&lt;&gt;"",D3&lt;&gt;0),E3/D3-1,""),"")</f>
        <v/>
      </c>
      <c r="I3" t="inlineStr"/>
    </row>
    <row r="4">
      <c r="A4" t="inlineStr">
        <is>
          <t>定投仓DCA</t>
        </is>
      </c>
      <c r="B4" t="inlineStr">
        <is>
          <t>QQQ</t>
        </is>
      </c>
      <c r="C4" s="2" t="n">
        <v>50</v>
      </c>
      <c r="D4" s="3" t="n">
        <v>460</v>
      </c>
      <c r="E4" s="3" t="n">
        <v>498.3</v>
      </c>
      <c r="F4" s="4">
        <f>IF(AND(C4&lt;&gt;"",E4&lt;&gt;""),ABS(C4)*E4,"")</f>
        <v/>
      </c>
      <c r="G4" s="4">
        <f>IF(AND(C4&lt;&gt;"",D4&lt;&gt;"",E4&lt;&gt;""),(E4-D4)*C4,"")</f>
        <v/>
      </c>
      <c r="H4" s="5">
        <f>IFERROR(IF(AND(E4&lt;&gt;"",D4&lt;&gt;0),E4/D4-1,""),"")</f>
        <v/>
      </c>
      <c r="I4" t="inlineStr"/>
    </row>
    <row r="5">
      <c r="A5" t="inlineStr">
        <is>
          <t>定投仓DCA</t>
        </is>
      </c>
      <c r="B5" t="inlineStr">
        <is>
          <t>VOO</t>
        </is>
      </c>
      <c r="C5" s="2" t="n">
        <v>30</v>
      </c>
      <c r="D5" s="3" t="n">
        <v>520</v>
      </c>
      <c r="E5" s="3" t="n">
        <v>555.8</v>
      </c>
      <c r="F5" s="4">
        <f>IF(AND(C5&lt;&gt;"",E5&lt;&gt;""),ABS(C5)*E5,"")</f>
        <v/>
      </c>
      <c r="G5" s="4">
        <f>IF(AND(C5&lt;&gt;"",D5&lt;&gt;"",E5&lt;&gt;""),(E5-D5)*C5,"")</f>
        <v/>
      </c>
      <c r="H5" s="5">
        <f>IFERROR(IF(AND(E5&lt;&gt;"",D5&lt;&gt;0),E5/D5-1,""),"")</f>
        <v/>
      </c>
      <c r="I5" t="inlineStr"/>
    </row>
    <row r="6">
      <c r="A6" t="inlineStr">
        <is>
          <t>轮子策略仓Wheel</t>
        </is>
      </c>
      <c r="B6" t="inlineStr">
        <is>
          <t>AMZN</t>
        </is>
      </c>
      <c r="C6" s="2" t="n">
        <v>60</v>
      </c>
      <c r="D6" s="3" t="n">
        <v>185</v>
      </c>
      <c r="E6" s="3" t="n">
        <v>212.4</v>
      </c>
      <c r="F6" s="4">
        <f>IF(AND(C6&lt;&gt;"",E6&lt;&gt;""),ABS(C6)*E6,"")</f>
        <v/>
      </c>
      <c r="G6" s="4">
        <f>IF(AND(C6&lt;&gt;"",D6&lt;&gt;"",E6&lt;&gt;""),(E6-D6)*C6,"")</f>
        <v/>
      </c>
      <c r="H6" s="5">
        <f>IFERROR(IF(AND(E6&lt;&gt;"",D6&lt;&gt;0),E6/D6-1,""),"")</f>
        <v/>
      </c>
      <c r="I6" t="inlineStr"/>
    </row>
    <row r="7">
      <c r="A7" t="inlineStr">
        <is>
          <t>轮子策略仓Wheel</t>
        </is>
      </c>
      <c r="B7" t="inlineStr">
        <is>
          <t>GOOGL</t>
        </is>
      </c>
      <c r="C7" s="2" t="n">
        <v>40</v>
      </c>
      <c r="D7" s="3" t="n">
        <v>155.2</v>
      </c>
      <c r="E7" s="3" t="n">
        <v>178.6</v>
      </c>
      <c r="F7" s="4">
        <f>IF(AND(C7&lt;&gt;"",E7&lt;&gt;""),ABS(C7)*E7,"")</f>
        <v/>
      </c>
      <c r="G7" s="4">
        <f>IF(AND(C7&lt;&gt;"",D7&lt;&gt;"",E7&lt;&gt;""),(E7-D7)*C7,"")</f>
        <v/>
      </c>
      <c r="H7" s="5">
        <f>IFERROR(IF(AND(E7&lt;&gt;"",D7&lt;&gt;0),E7/D7-1,""),"")</f>
        <v/>
      </c>
      <c r="I7" t="inlineStr"/>
    </row>
    <row r="8">
      <c r="A8" t="inlineStr">
        <is>
          <t>LEAPS Call仓</t>
        </is>
      </c>
      <c r="B8" t="inlineStr">
        <is>
          <t>NVDA</t>
        </is>
      </c>
      <c r="C8" s="2" t="n">
        <v>20</v>
      </c>
      <c r="D8" s="3" t="n">
        <v>880</v>
      </c>
      <c r="E8" s="3" t="n">
        <v>1050.3</v>
      </c>
      <c r="F8" s="4">
        <f>IF(AND(C8&lt;&gt;"",E8&lt;&gt;""),ABS(C8)*E8,"")</f>
        <v/>
      </c>
      <c r="G8" s="4">
        <f>IF(AND(C8&lt;&gt;"",D8&lt;&gt;"",E8&lt;&gt;""),(E8-D8)*C8,"")</f>
        <v/>
      </c>
      <c r="H8" s="5">
        <f>IFERROR(IF(AND(E8&lt;&gt;"",D8&lt;&gt;0),E8/D8-1,""),"")</f>
        <v/>
      </c>
      <c r="I8" t="inlineStr"/>
    </row>
    <row r="9">
      <c r="A9" t="inlineStr">
        <is>
          <t>LEAPS Call仓</t>
        </is>
      </c>
      <c r="B9" t="inlineStr">
        <is>
          <t>META</t>
        </is>
      </c>
      <c r="C9" s="2" t="n">
        <v>25</v>
      </c>
      <c r="D9" s="3" t="n">
        <v>480</v>
      </c>
      <c r="E9" s="3" t="n">
        <v>565.8</v>
      </c>
      <c r="F9" s="4">
        <f>IF(AND(C9&lt;&gt;"",E9&lt;&gt;""),ABS(C9)*E9,"")</f>
        <v/>
      </c>
      <c r="G9" s="4">
        <f>IF(AND(C9&lt;&gt;"",D9&lt;&gt;"",E9&lt;&gt;""),(E9-D9)*C9,"")</f>
        <v/>
      </c>
      <c r="H9" s="5">
        <f>IFERROR(IF(AND(E9&lt;&gt;"",D9&lt;&gt;0),E9/D9-1,""),"")</f>
        <v/>
      </c>
      <c r="I9" t="inlineStr"/>
    </row>
    <row r="10">
      <c r="A10" t="inlineStr">
        <is>
          <t>波段仓Swing</t>
        </is>
      </c>
      <c r="B10" t="inlineStr">
        <is>
          <t>TSLA</t>
        </is>
      </c>
      <c r="C10" s="2" t="n">
        <v>15</v>
      </c>
      <c r="D10" s="3" t="n">
        <v>245</v>
      </c>
      <c r="E10" s="3" t="n">
        <v>268.4</v>
      </c>
      <c r="F10" s="4">
        <f>IF(AND(C10&lt;&gt;"",E10&lt;&gt;""),ABS(C10)*E10,"")</f>
        <v/>
      </c>
      <c r="G10" s="4">
        <f>IF(AND(C10&lt;&gt;"",D10&lt;&gt;"",E10&lt;&gt;""),(E10-D10)*C10,"")</f>
        <v/>
      </c>
      <c r="H10" s="5">
        <f>IFERROR(IF(AND(E10&lt;&gt;"",D10&lt;&gt;0),E10/D10-1,""),"")</f>
        <v/>
      </c>
      <c r="I10" t="inlineStr"/>
    </row>
    <row r="11">
      <c r="A11" t="inlineStr">
        <is>
          <t>波段仓Swing</t>
        </is>
      </c>
      <c r="B11" t="inlineStr">
        <is>
          <t>AMD</t>
        </is>
      </c>
      <c r="C11" s="2" t="n">
        <v>30</v>
      </c>
      <c r="D11" s="3" t="n">
        <v>155</v>
      </c>
      <c r="E11" s="3" t="n">
        <v>168.2</v>
      </c>
      <c r="F11" s="4">
        <f>IF(AND(C11&lt;&gt;"",E11&lt;&gt;""),ABS(C11)*E11,"")</f>
        <v/>
      </c>
      <c r="G11" s="4">
        <f>IF(AND(C11&lt;&gt;"",D11&lt;&gt;"",E11&lt;&gt;""),(E11-D11)*C11,"")</f>
        <v/>
      </c>
      <c r="H11" s="5">
        <f>IFERROR(IF(AND(E11&lt;&gt;"",D11&lt;&gt;0),E11/D11-1,""),"")</f>
        <v/>
      </c>
      <c r="I11" t="inlineStr"/>
    </row>
    <row r="12">
      <c r="C12" s="2" t="n"/>
      <c r="D12" s="3" t="n"/>
      <c r="E12" s="3" t="n"/>
      <c r="F12" s="4">
        <f>IF(AND(C12&lt;&gt;"",E12&lt;&gt;""),ABS(C12)*E12,"")</f>
        <v/>
      </c>
      <c r="G12" s="4">
        <f>IF(AND(C12&lt;&gt;"",D12&lt;&gt;"",E12&lt;&gt;""),(E12-D12)*C12,"")</f>
        <v/>
      </c>
      <c r="H12" s="5">
        <f>IFERROR(IF(AND(E12&lt;&gt;"",D12&lt;&gt;0),E12/D12-1,""),"")</f>
        <v/>
      </c>
    </row>
    <row r="13">
      <c r="C13" s="2" t="n"/>
      <c r="D13" s="3" t="n"/>
      <c r="E13" s="3" t="n"/>
      <c r="F13" s="4">
        <f>IF(AND(C13&lt;&gt;"",E13&lt;&gt;""),ABS(C13)*E13,"")</f>
        <v/>
      </c>
      <c r="G13" s="4">
        <f>IF(AND(C13&lt;&gt;"",D13&lt;&gt;"",E13&lt;&gt;""),(E13-D13)*C13,"")</f>
        <v/>
      </c>
      <c r="H13" s="5">
        <f>IFERROR(IF(AND(E13&lt;&gt;"",D13&lt;&gt;0),E13/D13-1,""),"")</f>
        <v/>
      </c>
    </row>
    <row r="14">
      <c r="C14" s="2" t="n"/>
      <c r="D14" s="3" t="n"/>
      <c r="E14" s="3" t="n"/>
      <c r="F14" s="4">
        <f>IF(AND(C14&lt;&gt;"",E14&lt;&gt;""),ABS(C14)*E14,"")</f>
        <v/>
      </c>
      <c r="G14" s="4">
        <f>IF(AND(C14&lt;&gt;"",D14&lt;&gt;"",E14&lt;&gt;""),(E14-D14)*C14,"")</f>
        <v/>
      </c>
      <c r="H14" s="5">
        <f>IFERROR(IF(AND(E14&lt;&gt;"",D14&lt;&gt;0),E14/D14-1,""),"")</f>
        <v/>
      </c>
    </row>
    <row r="15">
      <c r="C15" s="2" t="n"/>
      <c r="D15" s="3" t="n"/>
      <c r="E15" s="3" t="n"/>
      <c r="F15" s="4">
        <f>IF(AND(C15&lt;&gt;"",E15&lt;&gt;""),ABS(C15)*E15,"")</f>
        <v/>
      </c>
      <c r="G15" s="4">
        <f>IF(AND(C15&lt;&gt;"",D15&lt;&gt;"",E15&lt;&gt;""),(E15-D15)*C15,"")</f>
        <v/>
      </c>
      <c r="H15" s="5">
        <f>IFERROR(IF(AND(E15&lt;&gt;"",D15&lt;&gt;0),E15/D15-1,""),"")</f>
        <v/>
      </c>
    </row>
    <row r="16">
      <c r="C16" s="2" t="n"/>
      <c r="D16" s="3" t="n"/>
      <c r="E16" s="3" t="n"/>
      <c r="F16" s="4">
        <f>IF(AND(C16&lt;&gt;"",E16&lt;&gt;""),ABS(C16)*E16,"")</f>
        <v/>
      </c>
      <c r="G16" s="4">
        <f>IF(AND(C16&lt;&gt;"",D16&lt;&gt;"",E16&lt;&gt;""),(E16-D16)*C16,"")</f>
        <v/>
      </c>
      <c r="H16" s="5">
        <f>IFERROR(IF(AND(E16&lt;&gt;"",D16&lt;&gt;0),E16/D16-1,""),"")</f>
        <v/>
      </c>
    </row>
    <row r="17">
      <c r="C17" s="2" t="n"/>
      <c r="D17" s="3" t="n"/>
      <c r="E17" s="3" t="n"/>
      <c r="F17" s="4">
        <f>IF(AND(C17&lt;&gt;"",E17&lt;&gt;""),ABS(C17)*E17,"")</f>
        <v/>
      </c>
      <c r="G17" s="4">
        <f>IF(AND(C17&lt;&gt;"",D17&lt;&gt;"",E17&lt;&gt;""),(E17-D17)*C17,"")</f>
        <v/>
      </c>
      <c r="H17" s="5">
        <f>IFERROR(IF(AND(E17&lt;&gt;"",D17&lt;&gt;0),E17/D17-1,""),"")</f>
        <v/>
      </c>
    </row>
    <row r="18">
      <c r="C18" s="2" t="n"/>
      <c r="D18" s="3" t="n"/>
      <c r="E18" s="3" t="n"/>
      <c r="F18" s="4">
        <f>IF(AND(C18&lt;&gt;"",E18&lt;&gt;""),ABS(C18)*E18,"")</f>
        <v/>
      </c>
      <c r="G18" s="4">
        <f>IF(AND(C18&lt;&gt;"",D18&lt;&gt;"",E18&lt;&gt;""),(E18-D18)*C18,"")</f>
        <v/>
      </c>
      <c r="H18" s="5">
        <f>IFERROR(IF(AND(E18&lt;&gt;"",D18&lt;&gt;0),E18/D18-1,""),"")</f>
        <v/>
      </c>
    </row>
    <row r="19">
      <c r="C19" s="2" t="n"/>
      <c r="D19" s="3" t="n"/>
      <c r="E19" s="3" t="n"/>
      <c r="F19" s="4">
        <f>IF(AND(C19&lt;&gt;"",E19&lt;&gt;""),ABS(C19)*E19,"")</f>
        <v/>
      </c>
      <c r="G19" s="4">
        <f>IF(AND(C19&lt;&gt;"",D19&lt;&gt;"",E19&lt;&gt;""),(E19-D19)*C19,"")</f>
        <v/>
      </c>
      <c r="H19" s="5">
        <f>IFERROR(IF(AND(E19&lt;&gt;"",D19&lt;&gt;0),E19/D19-1,""),"")</f>
        <v/>
      </c>
    </row>
    <row r="20">
      <c r="C20" s="2" t="n"/>
      <c r="D20" s="3" t="n"/>
      <c r="E20" s="3" t="n"/>
      <c r="F20" s="4">
        <f>IF(AND(C20&lt;&gt;"",E20&lt;&gt;""),ABS(C20)*E20,"")</f>
        <v/>
      </c>
      <c r="G20" s="4">
        <f>IF(AND(C20&lt;&gt;"",D20&lt;&gt;"",E20&lt;&gt;""),(E20-D20)*C20,"")</f>
        <v/>
      </c>
      <c r="H20" s="5">
        <f>IFERROR(IF(AND(E20&lt;&gt;"",D20&lt;&gt;0),E20/D20-1,""),"")</f>
        <v/>
      </c>
    </row>
    <row r="21">
      <c r="C21" s="2" t="n"/>
      <c r="D21" s="3" t="n"/>
      <c r="E21" s="3" t="n"/>
      <c r="F21" s="4">
        <f>IF(AND(C21&lt;&gt;"",E21&lt;&gt;""),ABS(C21)*E21,"")</f>
        <v/>
      </c>
      <c r="G21" s="4">
        <f>IF(AND(C21&lt;&gt;"",D21&lt;&gt;"",E21&lt;&gt;""),(E21-D21)*C21,"")</f>
        <v/>
      </c>
      <c r="H21" s="5">
        <f>IFERROR(IF(AND(E21&lt;&gt;"",D21&lt;&gt;0),E21/D21-1,""),"")</f>
        <v/>
      </c>
    </row>
    <row r="22">
      <c r="C22" s="2" t="n"/>
      <c r="D22" s="3" t="n"/>
      <c r="E22" s="3" t="n"/>
      <c r="F22" s="4">
        <f>IF(AND(C22&lt;&gt;"",E22&lt;&gt;""),ABS(C22)*E22,"")</f>
        <v/>
      </c>
      <c r="G22" s="4">
        <f>IF(AND(C22&lt;&gt;"",D22&lt;&gt;"",E22&lt;&gt;""),(E22-D22)*C22,"")</f>
        <v/>
      </c>
      <c r="H22" s="5">
        <f>IFERROR(IF(AND(E22&lt;&gt;"",D22&lt;&gt;0),E22/D22-1,""),"")</f>
        <v/>
      </c>
    </row>
    <row r="23">
      <c r="C23" s="2" t="n"/>
      <c r="D23" s="3" t="n"/>
      <c r="E23" s="3" t="n"/>
      <c r="F23" s="4">
        <f>IF(AND(C23&lt;&gt;"",E23&lt;&gt;""),ABS(C23)*E23,"")</f>
        <v/>
      </c>
      <c r="G23" s="4">
        <f>IF(AND(C23&lt;&gt;"",D23&lt;&gt;"",E23&lt;&gt;""),(E23-D23)*C23,"")</f>
        <v/>
      </c>
      <c r="H23" s="5">
        <f>IFERROR(IF(AND(E23&lt;&gt;"",D23&lt;&gt;0),E23/D23-1,""),"")</f>
        <v/>
      </c>
    </row>
    <row r="24">
      <c r="C24" s="2" t="n"/>
      <c r="D24" s="3" t="n"/>
      <c r="E24" s="3" t="n"/>
      <c r="F24" s="4">
        <f>IF(AND(C24&lt;&gt;"",E24&lt;&gt;""),ABS(C24)*E24,"")</f>
        <v/>
      </c>
      <c r="G24" s="4">
        <f>IF(AND(C24&lt;&gt;"",D24&lt;&gt;"",E24&lt;&gt;""),(E24-D24)*C24,"")</f>
        <v/>
      </c>
      <c r="H24" s="5">
        <f>IFERROR(IF(AND(E24&lt;&gt;"",D24&lt;&gt;0),E24/D24-1,""),"")</f>
        <v/>
      </c>
    </row>
    <row r="25">
      <c r="C25" s="2" t="n"/>
      <c r="D25" s="3" t="n"/>
      <c r="E25" s="3" t="n"/>
      <c r="F25" s="4">
        <f>IF(AND(C25&lt;&gt;"",E25&lt;&gt;""),ABS(C25)*E25,"")</f>
        <v/>
      </c>
      <c r="G25" s="4">
        <f>IF(AND(C25&lt;&gt;"",D25&lt;&gt;"",E25&lt;&gt;""),(E25-D25)*C25,"")</f>
        <v/>
      </c>
      <c r="H25" s="5">
        <f>IFERROR(IF(AND(E25&lt;&gt;"",D25&lt;&gt;0),E25/D25-1,""),"")</f>
        <v/>
      </c>
    </row>
    <row r="26">
      <c r="C26" s="2" t="n"/>
      <c r="D26" s="3" t="n"/>
      <c r="E26" s="3" t="n"/>
      <c r="F26" s="4">
        <f>IF(AND(C26&lt;&gt;"",E26&lt;&gt;""),ABS(C26)*E26,"")</f>
        <v/>
      </c>
      <c r="G26" s="4">
        <f>IF(AND(C26&lt;&gt;"",D26&lt;&gt;"",E26&lt;&gt;""),(E26-D26)*C26,"")</f>
        <v/>
      </c>
      <c r="H26" s="5">
        <f>IFERROR(IF(AND(E26&lt;&gt;"",D26&lt;&gt;0),E26/D26-1,""),"")</f>
        <v/>
      </c>
    </row>
    <row r="27">
      <c r="C27" s="2" t="n"/>
      <c r="D27" s="3" t="n"/>
      <c r="E27" s="3" t="n"/>
      <c r="F27" s="4">
        <f>IF(AND(C27&lt;&gt;"",E27&lt;&gt;""),ABS(C27)*E27,"")</f>
        <v/>
      </c>
      <c r="G27" s="4">
        <f>IF(AND(C27&lt;&gt;"",D27&lt;&gt;"",E27&lt;&gt;""),(E27-D27)*C27,"")</f>
        <v/>
      </c>
      <c r="H27" s="5">
        <f>IFERROR(IF(AND(E27&lt;&gt;"",D27&lt;&gt;0),E27/D27-1,""),"")</f>
        <v/>
      </c>
    </row>
    <row r="28">
      <c r="C28" s="2" t="n"/>
      <c r="D28" s="3" t="n"/>
      <c r="E28" s="3" t="n"/>
      <c r="F28" s="4">
        <f>IF(AND(C28&lt;&gt;"",E28&lt;&gt;""),ABS(C28)*E28,"")</f>
        <v/>
      </c>
      <c r="G28" s="4">
        <f>IF(AND(C28&lt;&gt;"",D28&lt;&gt;"",E28&lt;&gt;""),(E28-D28)*C28,"")</f>
        <v/>
      </c>
      <c r="H28" s="5">
        <f>IFERROR(IF(AND(E28&lt;&gt;"",D28&lt;&gt;0),E28/D28-1,""),"")</f>
        <v/>
      </c>
    </row>
    <row r="29">
      <c r="C29" s="2" t="n"/>
      <c r="D29" s="3" t="n"/>
      <c r="E29" s="3" t="n"/>
      <c r="F29" s="4">
        <f>IF(AND(C29&lt;&gt;"",E29&lt;&gt;""),ABS(C29)*E29,"")</f>
        <v/>
      </c>
      <c r="G29" s="4">
        <f>IF(AND(C29&lt;&gt;"",D29&lt;&gt;"",E29&lt;&gt;""),(E29-D29)*C29,"")</f>
        <v/>
      </c>
      <c r="H29" s="5">
        <f>IFERROR(IF(AND(E29&lt;&gt;"",D29&lt;&gt;0),E29/D29-1,""),"")</f>
        <v/>
      </c>
    </row>
    <row r="30">
      <c r="C30" s="2" t="n"/>
      <c r="D30" s="3" t="n"/>
      <c r="E30" s="3" t="n"/>
      <c r="F30" s="4">
        <f>IF(AND(C30&lt;&gt;"",E30&lt;&gt;""),ABS(C30)*E30,"")</f>
        <v/>
      </c>
      <c r="G30" s="4">
        <f>IF(AND(C30&lt;&gt;"",D30&lt;&gt;"",E30&lt;&gt;""),(E30-D30)*C30,"")</f>
        <v/>
      </c>
      <c r="H30" s="5">
        <f>IFERROR(IF(AND(E30&lt;&gt;"",D30&lt;&gt;0),E30/D30-1,""),"")</f>
        <v/>
      </c>
    </row>
    <row r="31">
      <c r="C31" s="2" t="n"/>
      <c r="D31" s="3" t="n"/>
      <c r="E31" s="3" t="n"/>
      <c r="F31" s="4">
        <f>IF(AND(C31&lt;&gt;"",E31&lt;&gt;""),ABS(C31)*E31,"")</f>
        <v/>
      </c>
      <c r="G31" s="4">
        <f>IF(AND(C31&lt;&gt;"",D31&lt;&gt;"",E31&lt;&gt;""),(E31-D31)*C31,"")</f>
        <v/>
      </c>
      <c r="H31" s="5">
        <f>IFERROR(IF(AND(E31&lt;&gt;"",D31&lt;&gt;0),E31/D31-1,""),"")</f>
        <v/>
      </c>
    </row>
    <row r="32">
      <c r="C32" s="2" t="n"/>
      <c r="D32" s="3" t="n"/>
      <c r="E32" s="3" t="n"/>
      <c r="F32" s="4">
        <f>IF(AND(C32&lt;&gt;"",E32&lt;&gt;""),ABS(C32)*E32,"")</f>
        <v/>
      </c>
      <c r="G32" s="4">
        <f>IF(AND(C32&lt;&gt;"",D32&lt;&gt;"",E32&lt;&gt;""),(E32-D32)*C32,"")</f>
        <v/>
      </c>
      <c r="H32" s="5">
        <f>IFERROR(IF(AND(E32&lt;&gt;"",D32&lt;&gt;0),E32/D32-1,""),"")</f>
        <v/>
      </c>
    </row>
    <row r="33">
      <c r="C33" s="2" t="n"/>
      <c r="D33" s="3" t="n"/>
      <c r="E33" s="3" t="n"/>
      <c r="F33" s="4">
        <f>IF(AND(C33&lt;&gt;"",E33&lt;&gt;""),ABS(C33)*E33,"")</f>
        <v/>
      </c>
      <c r="G33" s="4">
        <f>IF(AND(C33&lt;&gt;"",D33&lt;&gt;"",E33&lt;&gt;""),(E33-D33)*C33,"")</f>
        <v/>
      </c>
      <c r="H33" s="5">
        <f>IFERROR(IF(AND(E33&lt;&gt;"",D33&lt;&gt;0),E33/D33-1,""),"")</f>
        <v/>
      </c>
    </row>
    <row r="34">
      <c r="C34" s="2" t="n"/>
      <c r="D34" s="3" t="n"/>
      <c r="E34" s="3" t="n"/>
      <c r="F34" s="4">
        <f>IF(AND(C34&lt;&gt;"",E34&lt;&gt;""),ABS(C34)*E34,"")</f>
        <v/>
      </c>
      <c r="G34" s="4">
        <f>IF(AND(C34&lt;&gt;"",D34&lt;&gt;"",E34&lt;&gt;""),(E34-D34)*C34,"")</f>
        <v/>
      </c>
      <c r="H34" s="5">
        <f>IFERROR(IF(AND(E34&lt;&gt;"",D34&lt;&gt;0),E34/D34-1,""),"")</f>
        <v/>
      </c>
    </row>
    <row r="35">
      <c r="C35" s="2" t="n"/>
      <c r="D35" s="3" t="n"/>
      <c r="E35" s="3" t="n"/>
      <c r="F35" s="4">
        <f>IF(AND(C35&lt;&gt;"",E35&lt;&gt;""),ABS(C35)*E35,"")</f>
        <v/>
      </c>
      <c r="G35" s="4">
        <f>IF(AND(C35&lt;&gt;"",D35&lt;&gt;"",E35&lt;&gt;""),(E35-D35)*C35,"")</f>
        <v/>
      </c>
      <c r="H35" s="5">
        <f>IFERROR(IF(AND(E35&lt;&gt;"",D35&lt;&gt;0),E35/D35-1,""),"")</f>
        <v/>
      </c>
    </row>
    <row r="36">
      <c r="C36" s="2" t="n"/>
      <c r="D36" s="3" t="n"/>
      <c r="E36" s="3" t="n"/>
      <c r="F36" s="4">
        <f>IF(AND(C36&lt;&gt;"",E36&lt;&gt;""),ABS(C36)*E36,"")</f>
        <v/>
      </c>
      <c r="G36" s="4">
        <f>IF(AND(C36&lt;&gt;"",D36&lt;&gt;"",E36&lt;&gt;""),(E36-D36)*C36,"")</f>
        <v/>
      </c>
      <c r="H36" s="5">
        <f>IFERROR(IF(AND(E36&lt;&gt;"",D36&lt;&gt;0),E36/D36-1,""),"")</f>
        <v/>
      </c>
    </row>
    <row r="37">
      <c r="C37" s="2" t="n"/>
      <c r="D37" s="3" t="n"/>
      <c r="E37" s="3" t="n"/>
      <c r="F37" s="4">
        <f>IF(AND(C37&lt;&gt;"",E37&lt;&gt;""),ABS(C37)*E37,"")</f>
        <v/>
      </c>
      <c r="G37" s="4">
        <f>IF(AND(C37&lt;&gt;"",D37&lt;&gt;"",E37&lt;&gt;""),(E37-D37)*C37,"")</f>
        <v/>
      </c>
      <c r="H37" s="5">
        <f>IFERROR(IF(AND(E37&lt;&gt;"",D37&lt;&gt;0),E37/D37-1,""),"")</f>
        <v/>
      </c>
    </row>
    <row r="38">
      <c r="C38" s="2" t="n"/>
      <c r="D38" s="3" t="n"/>
      <c r="E38" s="3" t="n"/>
      <c r="F38" s="4">
        <f>IF(AND(C38&lt;&gt;"",E38&lt;&gt;""),ABS(C38)*E38,"")</f>
        <v/>
      </c>
      <c r="G38" s="4">
        <f>IF(AND(C38&lt;&gt;"",D38&lt;&gt;"",E38&lt;&gt;""),(E38-D38)*C38,"")</f>
        <v/>
      </c>
      <c r="H38" s="5">
        <f>IFERROR(IF(AND(E38&lt;&gt;"",D38&lt;&gt;0),E38/D38-1,""),"")</f>
        <v/>
      </c>
    </row>
    <row r="39">
      <c r="C39" s="2" t="n"/>
      <c r="D39" s="3" t="n"/>
      <c r="E39" s="3" t="n"/>
      <c r="F39" s="4">
        <f>IF(AND(C39&lt;&gt;"",E39&lt;&gt;""),ABS(C39)*E39,"")</f>
        <v/>
      </c>
      <c r="G39" s="4">
        <f>IF(AND(C39&lt;&gt;"",D39&lt;&gt;"",E39&lt;&gt;""),(E39-D39)*C39,"")</f>
        <v/>
      </c>
      <c r="H39" s="5">
        <f>IFERROR(IF(AND(E39&lt;&gt;"",D39&lt;&gt;0),E39/D39-1,""),"")</f>
        <v/>
      </c>
    </row>
    <row r="40">
      <c r="C40" s="2" t="n"/>
      <c r="D40" s="3" t="n"/>
      <c r="E40" s="3" t="n"/>
      <c r="F40" s="4">
        <f>IF(AND(C40&lt;&gt;"",E40&lt;&gt;""),ABS(C40)*E40,"")</f>
        <v/>
      </c>
      <c r="G40" s="4">
        <f>IF(AND(C40&lt;&gt;"",D40&lt;&gt;"",E40&lt;&gt;""),(E40-D40)*C40,"")</f>
        <v/>
      </c>
      <c r="H40" s="5">
        <f>IFERROR(IF(AND(E40&lt;&gt;"",D40&lt;&gt;0),E40/D40-1,""),"")</f>
        <v/>
      </c>
    </row>
    <row r="41">
      <c r="C41" s="2" t="n"/>
      <c r="D41" s="3" t="n"/>
      <c r="E41" s="3" t="n"/>
      <c r="F41" s="4">
        <f>IF(AND(C41&lt;&gt;"",E41&lt;&gt;""),ABS(C41)*E41,"")</f>
        <v/>
      </c>
      <c r="G41" s="4">
        <f>IF(AND(C41&lt;&gt;"",D41&lt;&gt;"",E41&lt;&gt;""),(E41-D41)*C41,"")</f>
        <v/>
      </c>
      <c r="H41" s="5">
        <f>IFERROR(IF(AND(E41&lt;&gt;"",D41&lt;&gt;0),E41/D41-1,""),"")</f>
        <v/>
      </c>
    </row>
    <row r="42">
      <c r="C42" s="2" t="n"/>
      <c r="D42" s="3" t="n"/>
      <c r="E42" s="3" t="n"/>
      <c r="F42" s="4">
        <f>IF(AND(C42&lt;&gt;"",E42&lt;&gt;""),ABS(C42)*E42,"")</f>
        <v/>
      </c>
      <c r="G42" s="4">
        <f>IF(AND(C42&lt;&gt;"",D42&lt;&gt;"",E42&lt;&gt;""),(E42-D42)*C42,"")</f>
        <v/>
      </c>
      <c r="H42" s="5">
        <f>IFERROR(IF(AND(E42&lt;&gt;"",D42&lt;&gt;0),E42/D42-1,""),"")</f>
        <v/>
      </c>
    </row>
    <row r="43">
      <c r="C43" s="2" t="n"/>
      <c r="D43" s="3" t="n"/>
      <c r="E43" s="3" t="n"/>
      <c r="F43" s="4">
        <f>IF(AND(C43&lt;&gt;"",E43&lt;&gt;""),ABS(C43)*E43,"")</f>
        <v/>
      </c>
      <c r="G43" s="4">
        <f>IF(AND(C43&lt;&gt;"",D43&lt;&gt;"",E43&lt;&gt;""),(E43-D43)*C43,"")</f>
        <v/>
      </c>
      <c r="H43" s="5">
        <f>IFERROR(IF(AND(E43&lt;&gt;"",D43&lt;&gt;0),E43/D43-1,""),"")</f>
        <v/>
      </c>
    </row>
    <row r="44">
      <c r="C44" s="2" t="n"/>
      <c r="D44" s="3" t="n"/>
      <c r="E44" s="3" t="n"/>
      <c r="F44" s="4">
        <f>IF(AND(C44&lt;&gt;"",E44&lt;&gt;""),ABS(C44)*E44,"")</f>
        <v/>
      </c>
      <c r="G44" s="4">
        <f>IF(AND(C44&lt;&gt;"",D44&lt;&gt;"",E44&lt;&gt;""),(E44-D44)*C44,"")</f>
        <v/>
      </c>
      <c r="H44" s="5">
        <f>IFERROR(IF(AND(E44&lt;&gt;"",D44&lt;&gt;0),E44/D44-1,""),"")</f>
        <v/>
      </c>
    </row>
    <row r="45">
      <c r="C45" s="2" t="n"/>
      <c r="D45" s="3" t="n"/>
      <c r="E45" s="3" t="n"/>
      <c r="F45" s="4">
        <f>IF(AND(C45&lt;&gt;"",E45&lt;&gt;""),ABS(C45)*E45,"")</f>
        <v/>
      </c>
      <c r="G45" s="4">
        <f>IF(AND(C45&lt;&gt;"",D45&lt;&gt;"",E45&lt;&gt;""),(E45-D45)*C45,"")</f>
        <v/>
      </c>
      <c r="H45" s="5">
        <f>IFERROR(IF(AND(E45&lt;&gt;"",D45&lt;&gt;0),E45/D45-1,""),"")</f>
        <v/>
      </c>
    </row>
    <row r="46">
      <c r="C46" s="2" t="n"/>
      <c r="D46" s="3" t="n"/>
      <c r="E46" s="3" t="n"/>
      <c r="F46" s="4">
        <f>IF(AND(C46&lt;&gt;"",E46&lt;&gt;""),ABS(C46)*E46,"")</f>
        <v/>
      </c>
      <c r="G46" s="4">
        <f>IF(AND(C46&lt;&gt;"",D46&lt;&gt;"",E46&lt;&gt;""),(E46-D46)*C46,"")</f>
        <v/>
      </c>
      <c r="H46" s="5">
        <f>IFERROR(IF(AND(E46&lt;&gt;"",D46&lt;&gt;0),E46/D46-1,""),"")</f>
        <v/>
      </c>
    </row>
    <row r="47">
      <c r="C47" s="2" t="n"/>
      <c r="D47" s="3" t="n"/>
      <c r="E47" s="3" t="n"/>
      <c r="F47" s="4">
        <f>IF(AND(C47&lt;&gt;"",E47&lt;&gt;""),ABS(C47)*E47,"")</f>
        <v/>
      </c>
      <c r="G47" s="4">
        <f>IF(AND(C47&lt;&gt;"",D47&lt;&gt;"",E47&lt;&gt;""),(E47-D47)*C47,"")</f>
        <v/>
      </c>
      <c r="H47" s="5">
        <f>IFERROR(IF(AND(E47&lt;&gt;"",D47&lt;&gt;0),E47/D47-1,""),"")</f>
        <v/>
      </c>
    </row>
    <row r="48">
      <c r="C48" s="2" t="n"/>
      <c r="D48" s="3" t="n"/>
      <c r="E48" s="3" t="n"/>
      <c r="F48" s="4">
        <f>IF(AND(C48&lt;&gt;"",E48&lt;&gt;""),ABS(C48)*E48,"")</f>
        <v/>
      </c>
      <c r="G48" s="4">
        <f>IF(AND(C48&lt;&gt;"",D48&lt;&gt;"",E48&lt;&gt;""),(E48-D48)*C48,"")</f>
        <v/>
      </c>
      <c r="H48" s="5">
        <f>IFERROR(IF(AND(E48&lt;&gt;"",D48&lt;&gt;0),E48/D48-1,""),"")</f>
        <v/>
      </c>
    </row>
    <row r="49">
      <c r="C49" s="2" t="n"/>
      <c r="D49" s="3" t="n"/>
      <c r="E49" s="3" t="n"/>
      <c r="F49" s="4">
        <f>IF(AND(C49&lt;&gt;"",E49&lt;&gt;""),ABS(C49)*E49,"")</f>
        <v/>
      </c>
      <c r="G49" s="4">
        <f>IF(AND(C49&lt;&gt;"",D49&lt;&gt;"",E49&lt;&gt;""),(E49-D49)*C49,"")</f>
        <v/>
      </c>
      <c r="H49" s="5">
        <f>IFERROR(IF(AND(E49&lt;&gt;"",D49&lt;&gt;0),E49/D49-1,""),"")</f>
        <v/>
      </c>
    </row>
    <row r="50">
      <c r="C50" s="2" t="n"/>
      <c r="D50" s="3" t="n"/>
      <c r="E50" s="3" t="n"/>
      <c r="F50" s="4">
        <f>IF(AND(C50&lt;&gt;"",E50&lt;&gt;""),ABS(C50)*E50,"")</f>
        <v/>
      </c>
      <c r="G50" s="4">
        <f>IF(AND(C50&lt;&gt;"",D50&lt;&gt;"",E50&lt;&gt;""),(E50-D50)*C50,"")</f>
        <v/>
      </c>
      <c r="H50" s="5">
        <f>IFERROR(IF(AND(E50&lt;&gt;"",D50&lt;&gt;0),E50/D50-1,""),"")</f>
        <v/>
      </c>
    </row>
    <row r="51">
      <c r="C51" s="2" t="n"/>
      <c r="D51" s="3" t="n"/>
      <c r="E51" s="3" t="n"/>
      <c r="F51" s="4">
        <f>IF(AND(C51&lt;&gt;"",E51&lt;&gt;""),ABS(C51)*E51,"")</f>
        <v/>
      </c>
      <c r="G51" s="4">
        <f>IF(AND(C51&lt;&gt;"",D51&lt;&gt;"",E51&lt;&gt;""),(E51-D51)*C51,"")</f>
        <v/>
      </c>
      <c r="H51" s="5">
        <f>IFERROR(IF(AND(E51&lt;&gt;"",D51&lt;&gt;0),E51/D51-1,""),"")</f>
        <v/>
      </c>
    </row>
    <row r="52">
      <c r="C52" s="2" t="n"/>
      <c r="D52" s="3" t="n"/>
      <c r="E52" s="3" t="n"/>
      <c r="F52" s="4">
        <f>IF(AND(C52&lt;&gt;"",E52&lt;&gt;""),ABS(C52)*E52,"")</f>
        <v/>
      </c>
      <c r="G52" s="4">
        <f>IF(AND(C52&lt;&gt;"",D52&lt;&gt;"",E52&lt;&gt;""),(E52-D52)*C52,"")</f>
        <v/>
      </c>
      <c r="H52" s="5">
        <f>IFERROR(IF(AND(E52&lt;&gt;"",D52&lt;&gt;0),E52/D52-1,""),"")</f>
        <v/>
      </c>
    </row>
    <row r="53">
      <c r="C53" s="2" t="n"/>
      <c r="D53" s="3" t="n"/>
      <c r="E53" s="3" t="n"/>
      <c r="F53" s="4">
        <f>IF(AND(C53&lt;&gt;"",E53&lt;&gt;""),ABS(C53)*E53,"")</f>
        <v/>
      </c>
      <c r="G53" s="4">
        <f>IF(AND(C53&lt;&gt;"",D53&lt;&gt;"",E53&lt;&gt;""),(E53-D53)*C53,"")</f>
        <v/>
      </c>
      <c r="H53" s="5">
        <f>IFERROR(IF(AND(E53&lt;&gt;"",D53&lt;&gt;0),E53/D53-1,""),"")</f>
        <v/>
      </c>
    </row>
    <row r="54">
      <c r="C54" s="2" t="n"/>
      <c r="D54" s="3" t="n"/>
      <c r="E54" s="3" t="n"/>
      <c r="F54" s="4">
        <f>IF(AND(C54&lt;&gt;"",E54&lt;&gt;""),ABS(C54)*E54,"")</f>
        <v/>
      </c>
      <c r="G54" s="4">
        <f>IF(AND(C54&lt;&gt;"",D54&lt;&gt;"",E54&lt;&gt;""),(E54-D54)*C54,"")</f>
        <v/>
      </c>
      <c r="H54" s="5">
        <f>IFERROR(IF(AND(E54&lt;&gt;"",D54&lt;&gt;0),E54/D54-1,""),"")</f>
        <v/>
      </c>
    </row>
    <row r="55">
      <c r="C55" s="2" t="n"/>
      <c r="D55" s="3" t="n"/>
      <c r="E55" s="3" t="n"/>
      <c r="F55" s="4">
        <f>IF(AND(C55&lt;&gt;"",E55&lt;&gt;""),ABS(C55)*E55,"")</f>
        <v/>
      </c>
      <c r="G55" s="4">
        <f>IF(AND(C55&lt;&gt;"",D55&lt;&gt;"",E55&lt;&gt;""),(E55-D55)*C55,"")</f>
        <v/>
      </c>
      <c r="H55" s="5">
        <f>IFERROR(IF(AND(E55&lt;&gt;"",D55&lt;&gt;0),E55/D55-1,""),"")</f>
        <v/>
      </c>
    </row>
    <row r="56">
      <c r="C56" s="2" t="n"/>
      <c r="D56" s="3" t="n"/>
      <c r="E56" s="3" t="n"/>
      <c r="F56" s="4">
        <f>IF(AND(C56&lt;&gt;"",E56&lt;&gt;""),ABS(C56)*E56,"")</f>
        <v/>
      </c>
      <c r="G56" s="4">
        <f>IF(AND(C56&lt;&gt;"",D56&lt;&gt;"",E56&lt;&gt;""),(E56-D56)*C56,"")</f>
        <v/>
      </c>
      <c r="H56" s="5">
        <f>IFERROR(IF(AND(E56&lt;&gt;"",D56&lt;&gt;0),E56/D56-1,""),"")</f>
        <v/>
      </c>
    </row>
    <row r="57">
      <c r="C57" s="2" t="n"/>
      <c r="D57" s="3" t="n"/>
      <c r="E57" s="3" t="n"/>
      <c r="F57" s="4">
        <f>IF(AND(C57&lt;&gt;"",E57&lt;&gt;""),ABS(C57)*E57,"")</f>
        <v/>
      </c>
      <c r="G57" s="4">
        <f>IF(AND(C57&lt;&gt;"",D57&lt;&gt;"",E57&lt;&gt;""),(E57-D57)*C57,"")</f>
        <v/>
      </c>
      <c r="H57" s="5">
        <f>IFERROR(IF(AND(E57&lt;&gt;"",D57&lt;&gt;0),E57/D57-1,""),"")</f>
        <v/>
      </c>
    </row>
    <row r="58">
      <c r="C58" s="2" t="n"/>
      <c r="D58" s="3" t="n"/>
      <c r="E58" s="3" t="n"/>
      <c r="F58" s="4">
        <f>IF(AND(C58&lt;&gt;"",E58&lt;&gt;""),ABS(C58)*E58,"")</f>
        <v/>
      </c>
      <c r="G58" s="4">
        <f>IF(AND(C58&lt;&gt;"",D58&lt;&gt;"",E58&lt;&gt;""),(E58-D58)*C58,"")</f>
        <v/>
      </c>
      <c r="H58" s="5">
        <f>IFERROR(IF(AND(E58&lt;&gt;"",D58&lt;&gt;0),E58/D58-1,""),"")</f>
        <v/>
      </c>
    </row>
    <row r="59">
      <c r="C59" s="2" t="n"/>
      <c r="D59" s="3" t="n"/>
      <c r="E59" s="3" t="n"/>
      <c r="F59" s="4">
        <f>IF(AND(C59&lt;&gt;"",E59&lt;&gt;""),ABS(C59)*E59,"")</f>
        <v/>
      </c>
      <c r="G59" s="4">
        <f>IF(AND(C59&lt;&gt;"",D59&lt;&gt;"",E59&lt;&gt;""),(E59-D59)*C59,"")</f>
        <v/>
      </c>
      <c r="H59" s="5">
        <f>IFERROR(IF(AND(E59&lt;&gt;"",D59&lt;&gt;0),E59/D59-1,""),"")</f>
        <v/>
      </c>
    </row>
    <row r="60">
      <c r="C60" s="2" t="n"/>
      <c r="D60" s="3" t="n"/>
      <c r="E60" s="3" t="n"/>
      <c r="F60" s="4">
        <f>IF(AND(C60&lt;&gt;"",E60&lt;&gt;""),ABS(C60)*E60,"")</f>
        <v/>
      </c>
      <c r="G60" s="4">
        <f>IF(AND(C60&lt;&gt;"",D60&lt;&gt;"",E60&lt;&gt;""),(E60-D60)*C60,"")</f>
        <v/>
      </c>
      <c r="H60" s="5">
        <f>IFERROR(IF(AND(E60&lt;&gt;"",D60&lt;&gt;0),E60/D60-1,""),"")</f>
        <v/>
      </c>
    </row>
    <row r="61">
      <c r="C61" s="2" t="n"/>
      <c r="D61" s="3" t="n"/>
      <c r="E61" s="3" t="n"/>
      <c r="F61" s="4">
        <f>IF(AND(C61&lt;&gt;"",E61&lt;&gt;""),ABS(C61)*E61,"")</f>
        <v/>
      </c>
      <c r="G61" s="4">
        <f>IF(AND(C61&lt;&gt;"",D61&lt;&gt;"",E61&lt;&gt;""),(E61-D61)*C61,"")</f>
        <v/>
      </c>
      <c r="H61" s="5">
        <f>IFERROR(IF(AND(E61&lt;&gt;"",D61&lt;&gt;0),E61/D61-1,""),"")</f>
        <v/>
      </c>
    </row>
    <row r="62">
      <c r="C62" s="2" t="n"/>
      <c r="D62" s="3" t="n"/>
      <c r="E62" s="3" t="n"/>
      <c r="F62" s="4">
        <f>IF(AND(C62&lt;&gt;"",E62&lt;&gt;""),ABS(C62)*E62,"")</f>
        <v/>
      </c>
      <c r="G62" s="4">
        <f>IF(AND(C62&lt;&gt;"",D62&lt;&gt;"",E62&lt;&gt;""),(E62-D62)*C62,"")</f>
        <v/>
      </c>
      <c r="H62" s="5">
        <f>IFERROR(IF(AND(E62&lt;&gt;"",D62&lt;&gt;0),E62/D62-1,""),"")</f>
        <v/>
      </c>
    </row>
    <row r="63">
      <c r="C63" s="2" t="n"/>
      <c r="D63" s="3" t="n"/>
      <c r="E63" s="3" t="n"/>
      <c r="F63" s="4">
        <f>IF(AND(C63&lt;&gt;"",E63&lt;&gt;""),ABS(C63)*E63,"")</f>
        <v/>
      </c>
      <c r="G63" s="4">
        <f>IF(AND(C63&lt;&gt;"",D63&lt;&gt;"",E63&lt;&gt;""),(E63-D63)*C63,"")</f>
        <v/>
      </c>
      <c r="H63" s="5">
        <f>IFERROR(IF(AND(E63&lt;&gt;"",D63&lt;&gt;0),E63/D63-1,""),"")</f>
        <v/>
      </c>
    </row>
    <row r="64">
      <c r="C64" s="2" t="n"/>
      <c r="D64" s="3" t="n"/>
      <c r="E64" s="3" t="n"/>
      <c r="F64" s="4">
        <f>IF(AND(C64&lt;&gt;"",E64&lt;&gt;""),ABS(C64)*E64,"")</f>
        <v/>
      </c>
      <c r="G64" s="4">
        <f>IF(AND(C64&lt;&gt;"",D64&lt;&gt;"",E64&lt;&gt;""),(E64-D64)*C64,"")</f>
        <v/>
      </c>
      <c r="H64" s="5">
        <f>IFERROR(IF(AND(E64&lt;&gt;"",D64&lt;&gt;0),E64/D64-1,""),"")</f>
        <v/>
      </c>
    </row>
    <row r="65">
      <c r="C65" s="2" t="n"/>
      <c r="D65" s="3" t="n"/>
      <c r="E65" s="3" t="n"/>
      <c r="F65" s="4">
        <f>IF(AND(C65&lt;&gt;"",E65&lt;&gt;""),ABS(C65)*E65,"")</f>
        <v/>
      </c>
      <c r="G65" s="4">
        <f>IF(AND(C65&lt;&gt;"",D65&lt;&gt;"",E65&lt;&gt;""),(E65-D65)*C65,"")</f>
        <v/>
      </c>
      <c r="H65" s="5">
        <f>IFERROR(IF(AND(E65&lt;&gt;"",D65&lt;&gt;0),E65/D65-1,""),"")</f>
        <v/>
      </c>
    </row>
    <row r="66">
      <c r="C66" s="2" t="n"/>
      <c r="D66" s="3" t="n"/>
      <c r="E66" s="3" t="n"/>
      <c r="F66" s="4">
        <f>IF(AND(C66&lt;&gt;"",E66&lt;&gt;""),ABS(C66)*E66,"")</f>
        <v/>
      </c>
      <c r="G66" s="4">
        <f>IF(AND(C66&lt;&gt;"",D66&lt;&gt;"",E66&lt;&gt;""),(E66-D66)*C66,"")</f>
        <v/>
      </c>
      <c r="H66" s="5">
        <f>IFERROR(IF(AND(E66&lt;&gt;"",D66&lt;&gt;0),E66/D66-1,""),"")</f>
        <v/>
      </c>
    </row>
    <row r="67">
      <c r="C67" s="2" t="n"/>
      <c r="D67" s="3" t="n"/>
      <c r="E67" s="3" t="n"/>
      <c r="F67" s="4">
        <f>IF(AND(C67&lt;&gt;"",E67&lt;&gt;""),ABS(C67)*E67,"")</f>
        <v/>
      </c>
      <c r="G67" s="4">
        <f>IF(AND(C67&lt;&gt;"",D67&lt;&gt;"",E67&lt;&gt;""),(E67-D67)*C67,"")</f>
        <v/>
      </c>
      <c r="H67" s="5">
        <f>IFERROR(IF(AND(E67&lt;&gt;"",D67&lt;&gt;0),E67/D67-1,""),"")</f>
        <v/>
      </c>
    </row>
    <row r="68">
      <c r="C68" s="2" t="n"/>
      <c r="D68" s="3" t="n"/>
      <c r="E68" s="3" t="n"/>
      <c r="F68" s="4">
        <f>IF(AND(C68&lt;&gt;"",E68&lt;&gt;""),ABS(C68)*E68,"")</f>
        <v/>
      </c>
      <c r="G68" s="4">
        <f>IF(AND(C68&lt;&gt;"",D68&lt;&gt;"",E68&lt;&gt;""),(E68-D68)*C68,"")</f>
        <v/>
      </c>
      <c r="H68" s="5">
        <f>IFERROR(IF(AND(E68&lt;&gt;"",D68&lt;&gt;0),E68/D68-1,""),"")</f>
        <v/>
      </c>
    </row>
    <row r="69">
      <c r="C69" s="2" t="n"/>
      <c r="D69" s="3" t="n"/>
      <c r="E69" s="3" t="n"/>
      <c r="F69" s="4">
        <f>IF(AND(C69&lt;&gt;"",E69&lt;&gt;""),ABS(C69)*E69,"")</f>
        <v/>
      </c>
      <c r="G69" s="4">
        <f>IF(AND(C69&lt;&gt;"",D69&lt;&gt;"",E69&lt;&gt;""),(E69-D69)*C69,"")</f>
        <v/>
      </c>
      <c r="H69" s="5">
        <f>IFERROR(IF(AND(E69&lt;&gt;"",D69&lt;&gt;0),E69/D69-1,""),"")</f>
        <v/>
      </c>
    </row>
    <row r="70">
      <c r="C70" s="2" t="n"/>
      <c r="D70" s="3" t="n"/>
      <c r="E70" s="3" t="n"/>
      <c r="F70" s="4">
        <f>IF(AND(C70&lt;&gt;"",E70&lt;&gt;""),ABS(C70)*E70,"")</f>
        <v/>
      </c>
      <c r="G70" s="4">
        <f>IF(AND(C70&lt;&gt;"",D70&lt;&gt;"",E70&lt;&gt;""),(E70-D70)*C70,"")</f>
        <v/>
      </c>
      <c r="H70" s="5">
        <f>IFERROR(IF(AND(E70&lt;&gt;"",D70&lt;&gt;0),E70/D70-1,""),"")</f>
        <v/>
      </c>
    </row>
    <row r="71">
      <c r="C71" s="2" t="n"/>
      <c r="D71" s="3" t="n"/>
      <c r="E71" s="3" t="n"/>
      <c r="F71" s="4">
        <f>IF(AND(C71&lt;&gt;"",E71&lt;&gt;""),ABS(C71)*E71,"")</f>
        <v/>
      </c>
      <c r="G71" s="4">
        <f>IF(AND(C71&lt;&gt;"",D71&lt;&gt;"",E71&lt;&gt;""),(E71-D71)*C71,"")</f>
        <v/>
      </c>
      <c r="H71" s="5">
        <f>IFERROR(IF(AND(E71&lt;&gt;"",D71&lt;&gt;0),E71/D71-1,""),"")</f>
        <v/>
      </c>
    </row>
    <row r="72">
      <c r="C72" s="2" t="n"/>
      <c r="D72" s="3" t="n"/>
      <c r="E72" s="3" t="n"/>
      <c r="F72" s="4">
        <f>IF(AND(C72&lt;&gt;"",E72&lt;&gt;""),ABS(C72)*E72,"")</f>
        <v/>
      </c>
      <c r="G72" s="4">
        <f>IF(AND(C72&lt;&gt;"",D72&lt;&gt;"",E72&lt;&gt;""),(E72-D72)*C72,"")</f>
        <v/>
      </c>
      <c r="H72" s="5">
        <f>IFERROR(IF(AND(E72&lt;&gt;"",D72&lt;&gt;0),E72/D72-1,""),"")</f>
        <v/>
      </c>
    </row>
    <row r="73">
      <c r="C73" s="2" t="n"/>
      <c r="D73" s="3" t="n"/>
      <c r="E73" s="3" t="n"/>
      <c r="F73" s="4">
        <f>IF(AND(C73&lt;&gt;"",E73&lt;&gt;""),ABS(C73)*E73,"")</f>
        <v/>
      </c>
      <c r="G73" s="4">
        <f>IF(AND(C73&lt;&gt;"",D73&lt;&gt;"",E73&lt;&gt;""),(E73-D73)*C73,"")</f>
        <v/>
      </c>
      <c r="H73" s="5">
        <f>IFERROR(IF(AND(E73&lt;&gt;"",D73&lt;&gt;0),E73/D73-1,""),"")</f>
        <v/>
      </c>
    </row>
    <row r="74">
      <c r="C74" s="2" t="n"/>
      <c r="D74" s="3" t="n"/>
      <c r="E74" s="3" t="n"/>
      <c r="F74" s="4">
        <f>IF(AND(C74&lt;&gt;"",E74&lt;&gt;""),ABS(C74)*E74,"")</f>
        <v/>
      </c>
      <c r="G74" s="4">
        <f>IF(AND(C74&lt;&gt;"",D74&lt;&gt;"",E74&lt;&gt;""),(E74-D74)*C74,"")</f>
        <v/>
      </c>
      <c r="H74" s="5">
        <f>IFERROR(IF(AND(E74&lt;&gt;"",D74&lt;&gt;0),E74/D74-1,""),"")</f>
        <v/>
      </c>
    </row>
    <row r="75">
      <c r="C75" s="2" t="n"/>
      <c r="D75" s="3" t="n"/>
      <c r="E75" s="3" t="n"/>
      <c r="F75" s="4">
        <f>IF(AND(C75&lt;&gt;"",E75&lt;&gt;""),ABS(C75)*E75,"")</f>
        <v/>
      </c>
      <c r="G75" s="4">
        <f>IF(AND(C75&lt;&gt;"",D75&lt;&gt;"",E75&lt;&gt;""),(E75-D75)*C75,"")</f>
        <v/>
      </c>
      <c r="H75" s="5">
        <f>IFERROR(IF(AND(E75&lt;&gt;"",D75&lt;&gt;0),E75/D75-1,""),"")</f>
        <v/>
      </c>
    </row>
    <row r="76">
      <c r="C76" s="2" t="n"/>
      <c r="D76" s="3" t="n"/>
      <c r="E76" s="3" t="n"/>
      <c r="F76" s="4">
        <f>IF(AND(C76&lt;&gt;"",E76&lt;&gt;""),ABS(C76)*E76,"")</f>
        <v/>
      </c>
      <c r="G76" s="4">
        <f>IF(AND(C76&lt;&gt;"",D76&lt;&gt;"",E76&lt;&gt;""),(E76-D76)*C76,"")</f>
        <v/>
      </c>
      <c r="H76" s="5">
        <f>IFERROR(IF(AND(E76&lt;&gt;"",D76&lt;&gt;0),E76/D76-1,""),"")</f>
        <v/>
      </c>
    </row>
    <row r="77">
      <c r="C77" s="2" t="n"/>
      <c r="D77" s="3" t="n"/>
      <c r="E77" s="3" t="n"/>
      <c r="F77" s="4">
        <f>IF(AND(C77&lt;&gt;"",E77&lt;&gt;""),ABS(C77)*E77,"")</f>
        <v/>
      </c>
      <c r="G77" s="4">
        <f>IF(AND(C77&lt;&gt;"",D77&lt;&gt;"",E77&lt;&gt;""),(E77-D77)*C77,"")</f>
        <v/>
      </c>
      <c r="H77" s="5">
        <f>IFERROR(IF(AND(E77&lt;&gt;"",D77&lt;&gt;0),E77/D77-1,""),"")</f>
        <v/>
      </c>
    </row>
    <row r="78">
      <c r="C78" s="2" t="n"/>
      <c r="D78" s="3" t="n"/>
      <c r="E78" s="3" t="n"/>
      <c r="F78" s="4">
        <f>IF(AND(C78&lt;&gt;"",E78&lt;&gt;""),ABS(C78)*E78,"")</f>
        <v/>
      </c>
      <c r="G78" s="4">
        <f>IF(AND(C78&lt;&gt;"",D78&lt;&gt;"",E78&lt;&gt;""),(E78-D78)*C78,"")</f>
        <v/>
      </c>
      <c r="H78" s="5">
        <f>IFERROR(IF(AND(E78&lt;&gt;"",D78&lt;&gt;0),E78/D78-1,""),"")</f>
        <v/>
      </c>
    </row>
    <row r="79">
      <c r="C79" s="2" t="n"/>
      <c r="D79" s="3" t="n"/>
      <c r="E79" s="3" t="n"/>
      <c r="F79" s="4">
        <f>IF(AND(C79&lt;&gt;"",E79&lt;&gt;""),ABS(C79)*E79,"")</f>
        <v/>
      </c>
      <c r="G79" s="4">
        <f>IF(AND(C79&lt;&gt;"",D79&lt;&gt;"",E79&lt;&gt;""),(E79-D79)*C79,"")</f>
        <v/>
      </c>
      <c r="H79" s="5">
        <f>IFERROR(IF(AND(E79&lt;&gt;"",D79&lt;&gt;0),E79/D79-1,""),"")</f>
        <v/>
      </c>
    </row>
    <row r="80">
      <c r="C80" s="2" t="n"/>
      <c r="D80" s="3" t="n"/>
      <c r="E80" s="3" t="n"/>
      <c r="F80" s="4">
        <f>IF(AND(C80&lt;&gt;"",E80&lt;&gt;""),ABS(C80)*E80,"")</f>
        <v/>
      </c>
      <c r="G80" s="4">
        <f>IF(AND(C80&lt;&gt;"",D80&lt;&gt;"",E80&lt;&gt;""),(E80-D80)*C80,"")</f>
        <v/>
      </c>
      <c r="H80" s="5">
        <f>IFERROR(IF(AND(E80&lt;&gt;"",D80&lt;&gt;0),E80/D80-1,""),"")</f>
        <v/>
      </c>
    </row>
    <row r="81">
      <c r="C81" s="2" t="n"/>
      <c r="D81" s="3" t="n"/>
      <c r="E81" s="3" t="n"/>
      <c r="F81" s="4">
        <f>IF(AND(C81&lt;&gt;"",E81&lt;&gt;""),ABS(C81)*E81,"")</f>
        <v/>
      </c>
      <c r="G81" s="4">
        <f>IF(AND(C81&lt;&gt;"",D81&lt;&gt;"",E81&lt;&gt;""),(E81-D81)*C81,"")</f>
        <v/>
      </c>
      <c r="H81" s="5">
        <f>IFERROR(IF(AND(E81&lt;&gt;"",D81&lt;&gt;0),E81/D81-1,""),"")</f>
        <v/>
      </c>
    </row>
    <row r="82">
      <c r="C82" s="2" t="n"/>
      <c r="D82" s="3" t="n"/>
      <c r="E82" s="3" t="n"/>
      <c r="F82" s="4">
        <f>IF(AND(C82&lt;&gt;"",E82&lt;&gt;""),ABS(C82)*E82,"")</f>
        <v/>
      </c>
      <c r="G82" s="4">
        <f>IF(AND(C82&lt;&gt;"",D82&lt;&gt;"",E82&lt;&gt;""),(E82-D82)*C82,"")</f>
        <v/>
      </c>
      <c r="H82" s="5">
        <f>IFERROR(IF(AND(E82&lt;&gt;"",D82&lt;&gt;0),E82/D82-1,""),"")</f>
        <v/>
      </c>
    </row>
    <row r="83">
      <c r="C83" s="2" t="n"/>
      <c r="D83" s="3" t="n"/>
      <c r="E83" s="3" t="n"/>
      <c r="F83" s="4">
        <f>IF(AND(C83&lt;&gt;"",E83&lt;&gt;""),ABS(C83)*E83,"")</f>
        <v/>
      </c>
      <c r="G83" s="4">
        <f>IF(AND(C83&lt;&gt;"",D83&lt;&gt;"",E83&lt;&gt;""),(E83-D83)*C83,"")</f>
        <v/>
      </c>
      <c r="H83" s="5">
        <f>IFERROR(IF(AND(E83&lt;&gt;"",D83&lt;&gt;0),E83/D83-1,""),"")</f>
        <v/>
      </c>
    </row>
    <row r="84">
      <c r="C84" s="2" t="n"/>
      <c r="D84" s="3" t="n"/>
      <c r="E84" s="3" t="n"/>
      <c r="F84" s="4">
        <f>IF(AND(C84&lt;&gt;"",E84&lt;&gt;""),ABS(C84)*E84,"")</f>
        <v/>
      </c>
      <c r="G84" s="4">
        <f>IF(AND(C84&lt;&gt;"",D84&lt;&gt;"",E84&lt;&gt;""),(E84-D84)*C84,"")</f>
        <v/>
      </c>
      <c r="H84" s="5">
        <f>IFERROR(IF(AND(E84&lt;&gt;"",D84&lt;&gt;0),E84/D84-1,""),"")</f>
        <v/>
      </c>
    </row>
    <row r="85">
      <c r="C85" s="2" t="n"/>
      <c r="D85" s="3" t="n"/>
      <c r="E85" s="3" t="n"/>
      <c r="F85" s="4">
        <f>IF(AND(C85&lt;&gt;"",E85&lt;&gt;""),ABS(C85)*E85,"")</f>
        <v/>
      </c>
      <c r="G85" s="4">
        <f>IF(AND(C85&lt;&gt;"",D85&lt;&gt;"",E85&lt;&gt;""),(E85-D85)*C85,"")</f>
        <v/>
      </c>
      <c r="H85" s="5">
        <f>IFERROR(IF(AND(E85&lt;&gt;"",D85&lt;&gt;0),E85/D85-1,""),"")</f>
        <v/>
      </c>
    </row>
    <row r="86">
      <c r="C86" s="2" t="n"/>
      <c r="D86" s="3" t="n"/>
      <c r="E86" s="3" t="n"/>
      <c r="F86" s="4">
        <f>IF(AND(C86&lt;&gt;"",E86&lt;&gt;""),ABS(C86)*E86,"")</f>
        <v/>
      </c>
      <c r="G86" s="4">
        <f>IF(AND(C86&lt;&gt;"",D86&lt;&gt;"",E86&lt;&gt;""),(E86-D86)*C86,"")</f>
        <v/>
      </c>
      <c r="H86" s="5">
        <f>IFERROR(IF(AND(E86&lt;&gt;"",D86&lt;&gt;0),E86/D86-1,""),"")</f>
        <v/>
      </c>
    </row>
    <row r="87">
      <c r="C87" s="2" t="n"/>
      <c r="D87" s="3" t="n"/>
      <c r="E87" s="3" t="n"/>
      <c r="F87" s="4">
        <f>IF(AND(C87&lt;&gt;"",E87&lt;&gt;""),ABS(C87)*E87,"")</f>
        <v/>
      </c>
      <c r="G87" s="4">
        <f>IF(AND(C87&lt;&gt;"",D87&lt;&gt;"",E87&lt;&gt;""),(E87-D87)*C87,"")</f>
        <v/>
      </c>
      <c r="H87" s="5">
        <f>IFERROR(IF(AND(E87&lt;&gt;"",D87&lt;&gt;0),E87/D87-1,""),"")</f>
        <v/>
      </c>
    </row>
    <row r="88">
      <c r="C88" s="2" t="n"/>
      <c r="D88" s="3" t="n"/>
      <c r="E88" s="3" t="n"/>
      <c r="F88" s="4">
        <f>IF(AND(C88&lt;&gt;"",E88&lt;&gt;""),ABS(C88)*E88,"")</f>
        <v/>
      </c>
      <c r="G88" s="4">
        <f>IF(AND(C88&lt;&gt;"",D88&lt;&gt;"",E88&lt;&gt;""),(E88-D88)*C88,"")</f>
        <v/>
      </c>
      <c r="H88" s="5">
        <f>IFERROR(IF(AND(E88&lt;&gt;"",D88&lt;&gt;0),E88/D88-1,""),"")</f>
        <v/>
      </c>
    </row>
    <row r="89">
      <c r="C89" s="2" t="n"/>
      <c r="D89" s="3" t="n"/>
      <c r="E89" s="3" t="n"/>
      <c r="F89" s="4">
        <f>IF(AND(C89&lt;&gt;"",E89&lt;&gt;""),ABS(C89)*E89,"")</f>
        <v/>
      </c>
      <c r="G89" s="4">
        <f>IF(AND(C89&lt;&gt;"",D89&lt;&gt;"",E89&lt;&gt;""),(E89-D89)*C89,"")</f>
        <v/>
      </c>
      <c r="H89" s="5">
        <f>IFERROR(IF(AND(E89&lt;&gt;"",D89&lt;&gt;0),E89/D89-1,""),"")</f>
        <v/>
      </c>
    </row>
    <row r="90">
      <c r="C90" s="2" t="n"/>
      <c r="D90" s="3" t="n"/>
      <c r="E90" s="3" t="n"/>
      <c r="F90" s="4">
        <f>IF(AND(C90&lt;&gt;"",E90&lt;&gt;""),ABS(C90)*E90,"")</f>
        <v/>
      </c>
      <c r="G90" s="4">
        <f>IF(AND(C90&lt;&gt;"",D90&lt;&gt;"",E90&lt;&gt;""),(E90-D90)*C90,"")</f>
        <v/>
      </c>
      <c r="H90" s="5">
        <f>IFERROR(IF(AND(E90&lt;&gt;"",D90&lt;&gt;0),E90/D90-1,""),"")</f>
        <v/>
      </c>
    </row>
    <row r="91">
      <c r="C91" s="2" t="n"/>
      <c r="D91" s="3" t="n"/>
      <c r="E91" s="3" t="n"/>
      <c r="F91" s="4">
        <f>IF(AND(C91&lt;&gt;"",E91&lt;&gt;""),ABS(C91)*E91,"")</f>
        <v/>
      </c>
      <c r="G91" s="4">
        <f>IF(AND(C91&lt;&gt;"",D91&lt;&gt;"",E91&lt;&gt;""),(E91-D91)*C91,"")</f>
        <v/>
      </c>
      <c r="H91" s="5">
        <f>IFERROR(IF(AND(E91&lt;&gt;"",D91&lt;&gt;0),E91/D91-1,""),"")</f>
        <v/>
      </c>
    </row>
    <row r="92">
      <c r="C92" s="2" t="n"/>
      <c r="D92" s="3" t="n"/>
      <c r="E92" s="3" t="n"/>
      <c r="F92" s="4">
        <f>IF(AND(C92&lt;&gt;"",E92&lt;&gt;""),ABS(C92)*E92,"")</f>
        <v/>
      </c>
      <c r="G92" s="4">
        <f>IF(AND(C92&lt;&gt;"",D92&lt;&gt;"",E92&lt;&gt;""),(E92-D92)*C92,"")</f>
        <v/>
      </c>
      <c r="H92" s="5">
        <f>IFERROR(IF(AND(E92&lt;&gt;"",D92&lt;&gt;0),E92/D92-1,""),"")</f>
        <v/>
      </c>
    </row>
    <row r="93">
      <c r="C93" s="2" t="n"/>
      <c r="D93" s="3" t="n"/>
      <c r="E93" s="3" t="n"/>
      <c r="F93" s="4">
        <f>IF(AND(C93&lt;&gt;"",E93&lt;&gt;""),ABS(C93)*E93,"")</f>
        <v/>
      </c>
      <c r="G93" s="4">
        <f>IF(AND(C93&lt;&gt;"",D93&lt;&gt;"",E93&lt;&gt;""),(E93-D93)*C93,"")</f>
        <v/>
      </c>
      <c r="H93" s="5">
        <f>IFERROR(IF(AND(E93&lt;&gt;"",D93&lt;&gt;0),E93/D93-1,""),"")</f>
        <v/>
      </c>
    </row>
    <row r="94">
      <c r="C94" s="2" t="n"/>
      <c r="D94" s="3" t="n"/>
      <c r="E94" s="3" t="n"/>
      <c r="F94" s="4">
        <f>IF(AND(C94&lt;&gt;"",E94&lt;&gt;""),ABS(C94)*E94,"")</f>
        <v/>
      </c>
      <c r="G94" s="4">
        <f>IF(AND(C94&lt;&gt;"",D94&lt;&gt;"",E94&lt;&gt;""),(E94-D94)*C94,"")</f>
        <v/>
      </c>
      <c r="H94" s="5">
        <f>IFERROR(IF(AND(E94&lt;&gt;"",D94&lt;&gt;0),E94/D94-1,""),"")</f>
        <v/>
      </c>
    </row>
    <row r="95">
      <c r="C95" s="2" t="n"/>
      <c r="D95" s="3" t="n"/>
      <c r="E95" s="3" t="n"/>
      <c r="F95" s="4">
        <f>IF(AND(C95&lt;&gt;"",E95&lt;&gt;""),ABS(C95)*E95,"")</f>
        <v/>
      </c>
      <c r="G95" s="4">
        <f>IF(AND(C95&lt;&gt;"",D95&lt;&gt;"",E95&lt;&gt;""),(E95-D95)*C95,"")</f>
        <v/>
      </c>
      <c r="H95" s="5">
        <f>IFERROR(IF(AND(E95&lt;&gt;"",D95&lt;&gt;0),E95/D95-1,""),"")</f>
        <v/>
      </c>
    </row>
    <row r="96">
      <c r="C96" s="2" t="n"/>
      <c r="D96" s="3" t="n"/>
      <c r="E96" s="3" t="n"/>
      <c r="F96" s="4">
        <f>IF(AND(C96&lt;&gt;"",E96&lt;&gt;""),ABS(C96)*E96,"")</f>
        <v/>
      </c>
      <c r="G96" s="4">
        <f>IF(AND(C96&lt;&gt;"",D96&lt;&gt;"",E96&lt;&gt;""),(E96-D96)*C96,"")</f>
        <v/>
      </c>
      <c r="H96" s="5">
        <f>IFERROR(IF(AND(E96&lt;&gt;"",D96&lt;&gt;0),E96/D96-1,""),"")</f>
        <v/>
      </c>
    </row>
    <row r="97">
      <c r="C97" s="2" t="n"/>
      <c r="D97" s="3" t="n"/>
      <c r="E97" s="3" t="n"/>
      <c r="F97" s="4">
        <f>IF(AND(C97&lt;&gt;"",E97&lt;&gt;""),ABS(C97)*E97,"")</f>
        <v/>
      </c>
      <c r="G97" s="4">
        <f>IF(AND(C97&lt;&gt;"",D97&lt;&gt;"",E97&lt;&gt;""),(E97-D97)*C97,"")</f>
        <v/>
      </c>
      <c r="H97" s="5">
        <f>IFERROR(IF(AND(E97&lt;&gt;"",D97&lt;&gt;0),E97/D97-1,""),"")</f>
        <v/>
      </c>
    </row>
    <row r="98">
      <c r="C98" s="2" t="n"/>
      <c r="D98" s="3" t="n"/>
      <c r="E98" s="3" t="n"/>
      <c r="F98" s="4">
        <f>IF(AND(C98&lt;&gt;"",E98&lt;&gt;""),ABS(C98)*E98,"")</f>
        <v/>
      </c>
      <c r="G98" s="4">
        <f>IF(AND(C98&lt;&gt;"",D98&lt;&gt;"",E98&lt;&gt;""),(E98-D98)*C98,"")</f>
        <v/>
      </c>
      <c r="H98" s="5">
        <f>IFERROR(IF(AND(E98&lt;&gt;"",D98&lt;&gt;0),E98/D98-1,""),"")</f>
        <v/>
      </c>
    </row>
    <row r="99">
      <c r="C99" s="2" t="n"/>
      <c r="D99" s="3" t="n"/>
      <c r="E99" s="3" t="n"/>
      <c r="F99" s="4">
        <f>IF(AND(C99&lt;&gt;"",E99&lt;&gt;""),ABS(C99)*E99,"")</f>
        <v/>
      </c>
      <c r="G99" s="4">
        <f>IF(AND(C99&lt;&gt;"",D99&lt;&gt;"",E99&lt;&gt;""),(E99-D99)*C99,"")</f>
        <v/>
      </c>
      <c r="H99" s="5">
        <f>IFERROR(IF(AND(E99&lt;&gt;"",D99&lt;&gt;0),E99/D99-1,""),"")</f>
        <v/>
      </c>
    </row>
    <row r="100">
      <c r="C100" s="2" t="n"/>
      <c r="D100" s="3" t="n"/>
      <c r="E100" s="3" t="n"/>
      <c r="F100" s="4">
        <f>IF(AND(C100&lt;&gt;"",E100&lt;&gt;""),ABS(C100)*E100,"")</f>
        <v/>
      </c>
      <c r="G100" s="4">
        <f>IF(AND(C100&lt;&gt;"",D100&lt;&gt;"",E100&lt;&gt;""),(E100-D100)*C100,"")</f>
        <v/>
      </c>
      <c r="H100" s="5">
        <f>IFERROR(IF(AND(E100&lt;&gt;"",D100&lt;&gt;0),E100/D100-1,""),"")</f>
        <v/>
      </c>
    </row>
    <row r="101">
      <c r="C101" s="2" t="n"/>
      <c r="D101" s="3" t="n"/>
      <c r="E101" s="3" t="n"/>
      <c r="F101" s="4">
        <f>IF(AND(C101&lt;&gt;"",E101&lt;&gt;""),ABS(C101)*E101,"")</f>
        <v/>
      </c>
      <c r="G101" s="4">
        <f>IF(AND(C101&lt;&gt;"",D101&lt;&gt;"",E101&lt;&gt;""),(E101-D101)*C101,"")</f>
        <v/>
      </c>
      <c r="H101" s="5">
        <f>IFERROR(IF(AND(E101&lt;&gt;"",D101&lt;&gt;0),E101/D101-1,""),"")</f>
        <v/>
      </c>
    </row>
  </sheetData>
  <conditionalFormatting sqref="G2:G101">
    <cfRule type="cellIs" priority="1" operator="greaterThan" dxfId="0">
      <formula>0</formula>
    </cfRule>
    <cfRule type="cellIs" priority="2" operator="lessThan" dxfId="1">
      <formula>0</formula>
    </cfRule>
  </conditionalFormatting>
  <conditionalFormatting sqref="H2:H101">
    <cfRule type="cellIs" priority="3" operator="greaterThan" dxfId="0">
      <formula>0</formula>
    </cfRule>
    <cfRule type="cellIs" priority="4" operator="lessThan" dxfId="1">
      <formula>0</formula>
    </cfRule>
  </conditionalFormatting>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showDropDown="0" showInputMessage="0" showErrorMessage="0" allowBlank="1" promptTitle="策略选择" prompt="选择策略" type="list">
      <formula1>"定投仓DCA,轮子策略仓Wheel,LEAPS Call仓,波段仓Swing,现金仓"</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0" customWidth="1" min="1" max="1"/>
    <col width="8" customWidth="1" min="2" max="2"/>
    <col width="15" customWidth="1" min="3" max="3"/>
    <col width="15" customWidth="1" min="4" max="4"/>
    <col width="12" customWidth="1" min="5" max="5"/>
    <col width="15" customWidth="1" min="6" max="6"/>
    <col width="12" customWidth="1" min="7" max="7"/>
  </cols>
  <sheetData>
    <row r="1">
      <c r="A1" s="6" t="inlineStr">
        <is>
          <t>策略汇总</t>
        </is>
      </c>
    </row>
    <row r="3">
      <c r="A3" s="7" t="inlineStr">
        <is>
          <t>现金金额</t>
        </is>
      </c>
      <c r="B3" s="8" t="n">
        <v>35000</v>
      </c>
      <c r="C3" s="9" t="inlineStr">
        <is>
          <t>← 可编辑</t>
        </is>
      </c>
    </row>
    <row r="5">
      <c r="A5" s="1" t="inlineStr">
        <is>
          <t>策略名称</t>
        </is>
      </c>
      <c r="B5" s="1" t="inlineStr">
        <is>
          <t>图标</t>
        </is>
      </c>
      <c r="C5" s="1" t="inlineStr">
        <is>
          <t>总市值</t>
        </is>
      </c>
      <c r="D5" s="1" t="inlineStr">
        <is>
          <t>总盈亏</t>
        </is>
      </c>
      <c r="E5" s="1" t="inlineStr">
        <is>
          <t>盈亏%</t>
        </is>
      </c>
      <c r="F5" s="1" t="inlineStr">
        <is>
          <t>占总资产比例</t>
        </is>
      </c>
      <c r="G5" s="1" t="inlineStr">
        <is>
          <t>持仓数量</t>
        </is>
      </c>
    </row>
    <row r="6">
      <c r="A6" s="10" t="inlineStr">
        <is>
          <t>定投仓DCA</t>
        </is>
      </c>
      <c r="B6" s="11" t="inlineStr">
        <is>
          <t>📈</t>
        </is>
      </c>
      <c r="C6" s="4">
        <f>SUMIFS(持仓录入.F:F,持仓录入.A:A,"定投仓DCA")</f>
        <v/>
      </c>
      <c r="D6" s="4">
        <f>SUMIFS(持仓录入.G:G,持仓录入.A:A,"定投仓DCA")</f>
        <v/>
      </c>
      <c r="E6" s="5">
        <f>IFERROR(IF(D6&lt;&gt;0,D6/(C6-D6),""),"")</f>
        <v/>
      </c>
      <c r="F6" s="5">
        <f>IF(C6&lt;&gt;"",C6/(SUM(C6:C9)+B3),"")</f>
        <v/>
      </c>
      <c r="G6" s="2">
        <f>COUNTIFS(持仓录入.A:A,"定投仓DCA",持仓录入.B:B,"&lt;&gt;")</f>
        <v/>
      </c>
    </row>
    <row r="7">
      <c r="A7" s="10" t="inlineStr">
        <is>
          <t>轮子策略仓Wheel</t>
        </is>
      </c>
      <c r="B7" s="11" t="inlineStr">
        <is>
          <t>🎡</t>
        </is>
      </c>
      <c r="C7" s="4">
        <f>SUMIFS(持仓录入.F:F,持仓录入.A:A,"轮子策略仓Wheel")</f>
        <v/>
      </c>
      <c r="D7" s="4">
        <f>SUMIFS(持仓录入.G:G,持仓录入.A:A,"轮子策略仓Wheel")</f>
        <v/>
      </c>
      <c r="E7" s="5">
        <f>IFERROR(IF(D7&lt;&gt;0,D7/(C7-D7),""),"")</f>
        <v/>
      </c>
      <c r="F7" s="5">
        <f>IF(C7&lt;&gt;"",C7/(SUM(C6:C9)+B3),"")</f>
        <v/>
      </c>
      <c r="G7" s="2">
        <f>COUNTIFS(持仓录入.A:A,"轮子策略仓Wheel",持仓录入.B:B,"&lt;&gt;")</f>
        <v/>
      </c>
    </row>
    <row r="8">
      <c r="A8" s="10" t="inlineStr">
        <is>
          <t>LEAPS Call仓</t>
        </is>
      </c>
      <c r="B8" s="11" t="inlineStr">
        <is>
          <t>📊</t>
        </is>
      </c>
      <c r="C8" s="4">
        <f>SUMIFS(持仓录入.F:F,持仓录入.A:A,"LEAPS Call仓")</f>
        <v/>
      </c>
      <c r="D8" s="4">
        <f>SUMIFS(持仓录入.G:G,持仓录入.A:A,"LEAPS Call仓")</f>
        <v/>
      </c>
      <c r="E8" s="5">
        <f>IFERROR(IF(D8&lt;&gt;0,D8/(C8-D8),""),"")</f>
        <v/>
      </c>
      <c r="F8" s="5">
        <f>IF(C8&lt;&gt;"",C8/(SUM(C6:C9)+B3),"")</f>
        <v/>
      </c>
      <c r="G8" s="2">
        <f>COUNTIFS(持仓录入.A:A,"LEAPS Call仓",持仓录入.B:B,"&lt;&gt;")</f>
        <v/>
      </c>
    </row>
    <row r="9">
      <c r="A9" s="10" t="inlineStr">
        <is>
          <t>波段仓Swing</t>
        </is>
      </c>
      <c r="B9" s="11" t="inlineStr">
        <is>
          <t>🎯</t>
        </is>
      </c>
      <c r="C9" s="4">
        <f>SUMIFS(持仓录入.F:F,持仓录入.A:A,"波段仓Swing")</f>
        <v/>
      </c>
      <c r="D9" s="4">
        <f>SUMIFS(持仓录入.G:G,持仓录入.A:A,"波段仓Swing")</f>
        <v/>
      </c>
      <c r="E9" s="5">
        <f>IFERROR(IF(D9&lt;&gt;0,D9/(C9-D9),""),"")</f>
        <v/>
      </c>
      <c r="F9" s="5">
        <f>IF(C9&lt;&gt;"",C9/(SUM(C6:C9)+B3),"")</f>
        <v/>
      </c>
      <c r="G9" s="2">
        <f>COUNTIFS(持仓录入.A:A,"波段仓Swing",持仓录入.B:B,"&lt;&gt;")</f>
        <v/>
      </c>
    </row>
    <row r="10">
      <c r="A10" s="12" t="inlineStr">
        <is>
          <t>总计</t>
        </is>
      </c>
      <c r="C10" s="13">
        <f>SUM(C6:C9)</f>
        <v/>
      </c>
      <c r="D10" s="13">
        <f>SUM(D6:D9)</f>
        <v/>
      </c>
      <c r="E10" s="14">
        <f>IFERROR(IF(D10&lt;&gt;0,D10/(C10-D10),""),"")</f>
        <v/>
      </c>
      <c r="F10" s="14" t="inlineStr">
        <is>
          <t>100.0%</t>
        </is>
      </c>
      <c r="G10" s="15">
        <f>SUM(G6:G9)</f>
        <v/>
      </c>
    </row>
    <row r="11">
      <c r="A11" s="16" t="inlineStr">
        <is>
          <t>现金</t>
        </is>
      </c>
      <c r="B11" s="11" t="inlineStr">
        <is>
          <t>💰</t>
        </is>
      </c>
      <c r="C11" s="17">
        <f>B3</f>
        <v/>
      </c>
      <c r="F11" s="18">
        <f>B3/(SUM(C6:C9)+B3)</f>
        <v/>
      </c>
    </row>
  </sheetData>
  <conditionalFormatting sqref="D6:D11">
    <cfRule type="cellIs" priority="1" operator="greaterThan" dxfId="2">
      <formula>0</formula>
    </cfRule>
    <cfRule type="cellIs" priority="2" operator="lessThan" dxfId="3">
      <formula>0</formula>
    </cfRule>
  </conditionalFormatting>
  <conditionalFormatting sqref="E6:E11">
    <cfRule type="cellIs" priority="3" operator="greaterThan" dxfId="2">
      <formula>0</formula>
    </cfRule>
    <cfRule type="cellIs" priority="4" operator="lessThan" dxfId="3">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9" t="inlineStr">
        <is>
          <t>投资组合仪表盘</t>
        </is>
      </c>
    </row>
    <row r="3">
      <c r="A3" s="20" t="inlineStr">
        <is>
          <t>总资产</t>
        </is>
      </c>
      <c r="C3" s="20" t="inlineStr">
        <is>
          <t>总盈亏</t>
        </is>
      </c>
      <c r="E3" s="20" t="inlineStr">
        <is>
          <t>现金</t>
        </is>
      </c>
      <c r="G3" s="20" t="inlineStr">
        <is>
          <t>持仓数</t>
        </is>
      </c>
      <c r="I3" s="20" t="inlineStr">
        <is>
          <t>最大策略仓</t>
        </is>
      </c>
    </row>
    <row r="4">
      <c r="A4" s="21">
        <f>策略汇总!C11+策略汇总!C12</f>
        <v/>
      </c>
      <c r="C4" s="21">
        <f>策略汇总!D11</f>
        <v/>
      </c>
      <c r="E4" s="21">
        <f>策略汇总!B3</f>
        <v/>
      </c>
      <c r="G4" s="22">
        <f>COUNTA(持仓录入.B:B)-1</f>
        <v/>
      </c>
      <c r="I4" s="22">
        <f>INDEX(策略汇总.A6:A10,MATCH(MAX(策略汇总.C6:C10),策略汇总.C6:C10,0))</f>
        <v/>
      </c>
    </row>
    <row r="7">
      <c r="A7" s="23" t="inlineStr">
        <is>
          <t>百万挑战进度</t>
        </is>
      </c>
      <c r="B7" t="inlineStr">
        <is>
          <t>目标: $1,000,000</t>
        </is>
      </c>
    </row>
    <row r="8">
      <c r="A8" s="24" t="inlineStr">
        <is>
          <t>当前进度</t>
        </is>
      </c>
      <c r="B8" s="25">
        <f>(策略汇总!C11+策略汇总!C12)/1000000</f>
        <v/>
      </c>
    </row>
    <row r="11">
      <c r="A11" s="23" t="inlineStr">
        <is>
          <t>目标配比</t>
        </is>
      </c>
    </row>
    <row r="12">
      <c r="A12" s="1" t="inlineStr">
        <is>
          <t>策略名</t>
        </is>
      </c>
      <c r="B12" s="1" t="inlineStr">
        <is>
          <t>目标占比</t>
        </is>
      </c>
      <c r="C12" s="1" t="inlineStr">
        <is>
          <t>实际占比</t>
        </is>
      </c>
      <c r="D12" s="1" t="inlineStr">
        <is>
          <t>差异</t>
        </is>
      </c>
    </row>
    <row r="13">
      <c r="A13" s="26" t="inlineStr">
        <is>
          <t>定投仓DCA</t>
        </is>
      </c>
      <c r="B13" s="27" t="n">
        <v>0.4</v>
      </c>
      <c r="C13" s="5">
        <f>IFERROR(VLOOKUP(A13,策略汇总.A6:F10,6,FALSE),"")</f>
        <v/>
      </c>
      <c r="D13" s="5">
        <f>B13-C13</f>
        <v/>
      </c>
    </row>
    <row r="14">
      <c r="A14" s="26" t="inlineStr">
        <is>
          <t>轮子策略仓Wheel</t>
        </is>
      </c>
      <c r="B14" s="27" t="n">
        <v>0.25</v>
      </c>
      <c r="C14" s="5">
        <f>IFERROR(VLOOKUP(A14,策略汇总.A6:F10,6,FALSE),"")</f>
        <v/>
      </c>
      <c r="D14" s="5">
        <f>B14-C14</f>
        <v/>
      </c>
    </row>
    <row r="15">
      <c r="A15" s="26" t="inlineStr">
        <is>
          <t>LEAPS Call仓</t>
        </is>
      </c>
      <c r="B15" s="27" t="n">
        <v>0.2</v>
      </c>
      <c r="C15" s="5">
        <f>IFERROR(VLOOKUP(A15,策略汇总.A6:F10,6,FALSE),"")</f>
        <v/>
      </c>
      <c r="D15" s="5">
        <f>B15-C15</f>
        <v/>
      </c>
    </row>
    <row r="16">
      <c r="A16" s="26" t="inlineStr">
        <is>
          <t>波段仓Swing</t>
        </is>
      </c>
      <c r="B16" s="27" t="n">
        <v>0.1</v>
      </c>
      <c r="C16" s="5">
        <f>IFERROR(VLOOKUP(A16,策略汇总.A6:F10,6,FALSE),"")</f>
        <v/>
      </c>
      <c r="D16" s="5">
        <f>B16-C16</f>
        <v/>
      </c>
    </row>
    <row r="17">
      <c r="A17" s="26" t="inlineStr">
        <is>
          <t>现金仓</t>
        </is>
      </c>
      <c r="B17" s="27" t="n">
        <v>0.05</v>
      </c>
      <c r="C17" s="5">
        <f>IFERROR(VLOOKUP(A17,策略汇总.A6:F10,6,FALSE),"")</f>
        <v/>
      </c>
      <c r="D17" s="5">
        <f>B17-C17</f>
        <v/>
      </c>
    </row>
  </sheetData>
  <mergeCells count="6">
    <mergeCell ref="A4:B4"/>
    <mergeCell ref="G4:H4"/>
    <mergeCell ref="E4:F4"/>
    <mergeCell ref="I4:J4"/>
    <mergeCell ref="A1:F1"/>
    <mergeCell ref="C4:D4"/>
  </mergeCells>
  <conditionalFormatting sqref="B8">
    <cfRule type="dataBar" priority="1">
      <dataBar showValue="1">
        <cfvo type="num" val="0"/>
        <cfvo type="num" val="1"/>
        <color rgb="004472C4"/>
      </dataBar>
    </cfRule>
  </conditionalFormatting>
  <conditionalFormatting sqref="D13:D17">
    <cfRule type="cellIs" priority="2" operator="greaterThan" dxfId="2">
      <formula>0</formula>
    </cfRule>
    <cfRule type="cellIs" priority="3" operator="lessThan" dxfId="3">
      <formula>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0" customWidth="1" min="1" max="1"/>
    <col width="20" customWidth="1" min="2" max="2"/>
    <col width="40" customWidth="1" min="3" max="3"/>
  </cols>
  <sheetData>
    <row r="1">
      <c r="A1" s="19" t="inlineStr">
        <is>
          <t>设置</t>
        </is>
      </c>
    </row>
    <row r="3">
      <c r="A3" s="10" t="inlineStr">
        <is>
          <t>现金金额</t>
        </is>
      </c>
      <c r="B3" s="8" t="n">
        <v>35000</v>
      </c>
      <c r="C3" s="9" t="inlineStr">
        <is>
          <t>← 可编辑（将在策略汇总中引用）</t>
        </is>
      </c>
    </row>
    <row r="4">
      <c r="A4" s="10" t="inlineStr">
        <is>
          <t>挑战目标金额</t>
        </is>
      </c>
      <c r="B4" s="8" t="n">
        <v>1000000</v>
      </c>
      <c r="C4" s="9" t="inlineStr">
        <is>
          <t>← 可编辑（百万挑战目标）</t>
        </is>
      </c>
    </row>
    <row r="6">
      <c r="A6" s="23" t="inlineStr">
        <is>
          <t>使用说明</t>
        </is>
      </c>
    </row>
    <row r="7">
      <c r="A7" s="28" t="inlineStr">
        <is>
          <t>1. 在【持仓录入】表中输入持仓数据</t>
        </is>
      </c>
    </row>
    <row r="8">
      <c r="A8" s="28" t="inlineStr">
        <is>
          <t>2. 策略列使用下拉菜单选择</t>
        </is>
      </c>
    </row>
    <row r="9">
      <c r="A9" s="28" t="inlineStr">
        <is>
          <t>3. 市值、盈亏金额、盈亏% 自动计算</t>
        </is>
      </c>
    </row>
    <row r="10">
      <c r="A10" s="28" t="inlineStr">
        <is>
          <t>4. 在【设置】表中修改现金金额和挑战目标</t>
        </is>
      </c>
    </row>
    <row r="11">
      <c r="A11" s="28" t="inlineStr">
        <is>
          <t>5. 【策略汇总】自动汇总各策略表现</t>
        </is>
      </c>
    </row>
    <row r="12">
      <c r="A12" s="28" t="inlineStr">
        <is>
          <t>6. 【仪表盘】查看投资组合概览</t>
        </is>
      </c>
    </row>
    <row r="13">
      <c r="A13" s="28" t="inlineStr">
        <is>
          <t>7. 所有计算均使用Excel公式，可离线使用</t>
        </is>
      </c>
    </row>
  </sheetData>
  <mergeCells count="8">
    <mergeCell ref="A10:C10"/>
    <mergeCell ref="A13:C13"/>
    <mergeCell ref="A11:C11"/>
    <mergeCell ref="A1:C1"/>
    <mergeCell ref="A8:C8"/>
    <mergeCell ref="A9:C9"/>
    <mergeCell ref="A12:C12"/>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2026-06-06T11:01:16Z</dcterms:created>
  <dcterms:modified xmlns:dcterms="http://purl.org/dc/terms/" xmlns:xsi="http://www.w3.org/2001/XMLSchema-instance" xsi:type="dcterms:W3CDTF">2026-06-06T11:01:16Z</dcterms:modified>
</cp:coreProperties>
</file>